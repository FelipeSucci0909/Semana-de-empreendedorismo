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DRE 3 anos" sheetId="2" state="visible" r:id="rId4"/>
    <sheet name="Sensibilidade" sheetId="3" state="visible" r:id="rId5"/>
    <sheet name="Por atendimen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<sst xmlns="http://schemas.openxmlformats.org/spreadsheetml/2006/main" count="141" uniqueCount="129">
  <si>
    <t xml:space="preserve">Zelo — Premissas (todas são hipóteses a validar)</t>
  </si>
  <si>
    <t xml:space="preserve">Edite as células em azul. Amarelo = premissas que mais mexem no resultado.</t>
  </si>
  <si>
    <t xml:space="preserve">PREÇOS (o que a família paga)</t>
  </si>
  <si>
    <t xml:space="preserve">Acompanhante (bloco de até 4h)</t>
  </si>
  <si>
    <t xml:space="preserve">Sugestão do grupo; entrevista: ~R$ 300 pelo DIA inteiro</t>
  </si>
  <si>
    <t xml:space="preserve">Transporte ida e volta (até 15 km)</t>
  </si>
  <si>
    <t xml:space="preserve">Definido pelo grupo</t>
  </si>
  <si>
    <t xml:space="preserve">Adicional veículo adaptado (rampa)</t>
  </si>
  <si>
    <t xml:space="preserve">Estimativa</t>
  </si>
  <si>
    <t xml:space="preserve">Taxa de serviço por atendimento (plano Grátis)</t>
  </si>
  <si>
    <t xml:space="preserve">Isenta no Zelo+ e no Zelo Empresas</t>
  </si>
  <si>
    <t xml:space="preserve">Zelo+ (mensal por família)</t>
  </si>
  <si>
    <t xml:space="preserve">ZELO EMPRESAS (o que a empresa paga)</t>
  </si>
  <si>
    <t xml:space="preserve">Mensalidade por funcionário (todos os funcionários)</t>
  </si>
  <si>
    <t xml:space="preserve">Modelo de benefício: a empresa paga por funcionário, use ou não. Inclui Zelo+ para quem tem pais idosos</t>
  </si>
  <si>
    <t xml:space="preserve">Funcionários por empresa cliente (média)</t>
  </si>
  <si>
    <t xml:space="preserve">Empresas médias e grandes de SP</t>
  </si>
  <si>
    <t xml:space="preserve">MIX DOS ATENDIMENTOS</t>
  </si>
  <si>
    <t xml:space="preserve">% dos atendimentos com acompanhante</t>
  </si>
  <si>
    <t xml:space="preserve">% dos atendimentos com transporte</t>
  </si>
  <si>
    <t xml:space="preserve">% dos atendimentos com veículo adaptado</t>
  </si>
  <si>
    <t xml:space="preserve">CUSTOS VARIÁVEIS</t>
  </si>
  <si>
    <t xml:space="preserve">Repasse ao acompanhante (% do preço)</t>
  </si>
  <si>
    <t xml:space="preserve">Zelo fica com 25%</t>
  </si>
  <si>
    <t xml:space="preserve">Custo do carro ida e volta (99/Uber/táxi)</t>
  </si>
  <si>
    <t xml:space="preserve">Estimativa: 2 corridas de ~6 km em SP</t>
  </si>
  <si>
    <t xml:space="preserve">Custo adicional da frota adaptada</t>
  </si>
  <si>
    <t xml:space="preserve">Taxa de pagamento (% do valor cobrado)</t>
  </si>
  <si>
    <t xml:space="preserve">Cartão/Pix intermediado; não incide no boleto B2B</t>
  </si>
  <si>
    <t xml:space="preserve">Seguro de acidentes pessoais por atendimento</t>
  </si>
  <si>
    <t xml:space="preserve">IA + WhatsApp por atendimento</t>
  </si>
  <si>
    <t xml:space="preserve">Conversa de agendamento + avisos do dia</t>
  </si>
  <si>
    <t xml:space="preserve">IA + WhatsApp por família ativa no mês</t>
  </si>
  <si>
    <t xml:space="preserve">Lembretes, perguntas</t>
  </si>
  <si>
    <t xml:space="preserve">Impostos sobre a receita própria do Zelo</t>
  </si>
  <si>
    <t xml:space="preserve">Simples Nacional, estimativa. Base = entradas − repasses − carros</t>
  </si>
  <si>
    <t xml:space="preserve">Zelo — DRE preliminar de 3 anos (R$ por ano)</t>
  </si>
  <si>
    <t xml:space="preserve">Cenário-base · modelo: acompanhante Zelo + carro sob demanda · B2B cobrado por funcionário</t>
  </si>
  <si>
    <t xml:space="preserve">Linha</t>
  </si>
  <si>
    <t xml:space="preserve">Ano 1</t>
  </si>
  <si>
    <t xml:space="preserve">Ano 2</t>
  </si>
  <si>
    <t xml:space="preserve">Ano 3</t>
  </si>
  <si>
    <t xml:space="preserve">Como é calculado</t>
  </si>
  <si>
    <t xml:space="preserve">VOLUME (premissas de cada ano, média mensal)</t>
  </si>
  <si>
    <t xml:space="preserve">Famílias B2C ativas</t>
  </si>
  <si>
    <t xml:space="preserve">famílias que contratam por conta própria</t>
  </si>
  <si>
    <t xml:space="preserve">% das famílias B2C no Zelo+</t>
  </si>
  <si>
    <t xml:space="preserve">Atendimentos por família B2C por mês</t>
  </si>
  <si>
    <t xml:space="preserve">Empresas clientes (média no ano)</t>
  </si>
  <si>
    <t xml:space="preserve">ex.: piloto com 3 empresas, 5 no fim do ano 1</t>
  </si>
  <si>
    <t xml:space="preserve">% dos funcionários com família ativa no mês</t>
  </si>
  <si>
    <t xml:space="preserve">funcionários de 35 a 60 anos que levam os pais ao médico</t>
  </si>
  <si>
    <t xml:space="preserve">Atendimentos por família B2B por mês</t>
  </si>
  <si>
    <t xml:space="preserve">o benefício estimula o uso</t>
  </si>
  <si>
    <t xml:space="preserve">Funcionários cobertos</t>
  </si>
  <si>
    <t xml:space="preserve">Famílias B2B ativas</t>
  </si>
  <si>
    <t xml:space="preserve">Atendimentos por mês</t>
  </si>
  <si>
    <t xml:space="preserve">Atendimentos no ano</t>
  </si>
  <si>
    <t xml:space="preserve">% dos atendimentos vindos do B2B</t>
  </si>
  <si>
    <t xml:space="preserve">% dos atendimentos isentos da taxa</t>
  </si>
  <si>
    <t xml:space="preserve">famílias Zelo+ e Zelo Empresas não pagam taxa</t>
  </si>
  <si>
    <t xml:space="preserve">ENTRADAS (dinheiro que entra)</t>
  </si>
  <si>
    <t xml:space="preserve">Acompanhantes</t>
  </si>
  <si>
    <t xml:space="preserve">atendimentos × % com acompanhante × preço</t>
  </si>
  <si>
    <t xml:space="preserve">Transporte</t>
  </si>
  <si>
    <t xml:space="preserve">Adicional veículo adaptado</t>
  </si>
  <si>
    <t xml:space="preserve">Taxa de serviço (plano Grátis)</t>
  </si>
  <si>
    <t xml:space="preserve">Assinaturas Zelo+</t>
  </si>
  <si>
    <t xml:space="preserve">Zelo Empresas (mensalidade por funcionário)</t>
  </si>
  <si>
    <t xml:space="preserve">receita recorrente, faturada por boleto à empresa</t>
  </si>
  <si>
    <t xml:space="preserve">Total de entradas</t>
  </si>
  <si>
    <t xml:space="preserve">Receita própria do Zelo (entradas − repasses − carros)</t>
  </si>
  <si>
    <t xml:space="preserve">o que é de fato do Zelo</t>
  </si>
  <si>
    <t xml:space="preserve">SAÍDAS VARIÁVEIS</t>
  </si>
  <si>
    <t xml:space="preserve">Repasse aos acompanhantes</t>
  </si>
  <si>
    <t xml:space="preserve">Carros sob demanda (99/Uber/táxi)</t>
  </si>
  <si>
    <t xml:space="preserve">Frota adaptada parceira</t>
  </si>
  <si>
    <t xml:space="preserve">Taxa de pagamento</t>
  </si>
  <si>
    <t xml:space="preserve">sobre tudo, menos o boleto B2B</t>
  </si>
  <si>
    <t xml:space="preserve">Seguro por atendimento</t>
  </si>
  <si>
    <t xml:space="preserve">IA + WhatsApp</t>
  </si>
  <si>
    <t xml:space="preserve">Impostos sobre a receita própria</t>
  </si>
  <si>
    <t xml:space="preserve">Margem de contribuição</t>
  </si>
  <si>
    <t xml:space="preserve">Margem de contribuição (% das entradas)</t>
  </si>
  <si>
    <t xml:space="preserve">CUSTOS FIXOS (média mensal no ano; azul = editável)</t>
  </si>
  <si>
    <t xml:space="preserve">Equipe de operação e atendimento (com encargos)</t>
  </si>
  <si>
    <t xml:space="preserve">2 / 5 / 9 pessoas; a Zélia faz o agendamento</t>
  </si>
  <si>
    <t xml:space="preserve">Pró-labore dos fundadores</t>
  </si>
  <si>
    <t xml:space="preserve">3 fundadores</t>
  </si>
  <si>
    <t xml:space="preserve">Tecnologia (desenvolvimento e nuvem)</t>
  </si>
  <si>
    <t xml:space="preserve">Marketing e aquisição de famílias B2C</t>
  </si>
  <si>
    <t xml:space="preserve">menor porque o B2B traz famílias sem custo de aquisição</t>
  </si>
  <si>
    <t xml:space="preserve">Recrutamento e treinamento de parceiros</t>
  </si>
  <si>
    <t xml:space="preserve">Vendas B2B (RH)</t>
  </si>
  <si>
    <t xml:space="preserve">1 / 2 / 3 vendedores</t>
  </si>
  <si>
    <t xml:space="preserve">Jurídico, contábil e administrativo</t>
  </si>
  <si>
    <t xml:space="preserve">Total de custos fixos por mês</t>
  </si>
  <si>
    <t xml:space="preserve">Total de custos fixos no ano</t>
  </si>
  <si>
    <t xml:space="preserve">RESULTADO</t>
  </si>
  <si>
    <t xml:space="preserve">EBITDA</t>
  </si>
  <si>
    <t xml:space="preserve">Depreciação e amortização</t>
  </si>
  <si>
    <t xml:space="preserve">notebooks, desenvolvimento do app</t>
  </si>
  <si>
    <t xml:space="preserve">EBIT</t>
  </si>
  <si>
    <t xml:space="preserve">Margem EBIT (% das entradas)</t>
  </si>
  <si>
    <t xml:space="preserve">EBIT acumulado</t>
  </si>
  <si>
    <t xml:space="preserve">vira positivo = o investimento do ano 1 se pagou</t>
  </si>
  <si>
    <t xml:space="preserve">PONTO DE EQUILÍBRIO</t>
  </si>
  <si>
    <t xml:space="preserve">Margem da mensalidade B2B no ano</t>
  </si>
  <si>
    <t xml:space="preserve">quase toda a mensalidade vira margem</t>
  </si>
  <si>
    <t xml:space="preserve">Margem por atendimento (sem B2B)</t>
  </si>
  <si>
    <t xml:space="preserve">Atendimentos/mês para EBIT = 0</t>
  </si>
  <si>
    <t xml:space="preserve">mantendo os custos fixos e o B2B do ano</t>
  </si>
  <si>
    <t xml:space="preserve">Atendimentos/mês para EBIT = 0 sem o B2B</t>
  </si>
  <si>
    <t xml:space="preserve">EBIT se a mensalidade B2B fosse zero</t>
  </si>
  <si>
    <t xml:space="preserve">por que o Zelo Empresas é prioridade</t>
  </si>
  <si>
    <t xml:space="preserve">EBIT por ano conforme a mensalidade por funcionário do Zelo Empresas</t>
  </si>
  <si>
    <t xml:space="preserve">Cada R$ 1 a mais por funcionário vira receita quase sem custo (só imposto). Demais premissas como na DRE.</t>
  </si>
  <si>
    <t xml:space="preserve">R$ por funcionário/mês</t>
  </si>
  <si>
    <t xml:space="preserve">Um atendimento: acompanhante + carro (família no plano Grátis)</t>
  </si>
  <si>
    <t xml:space="preserve">Valores puxados da aba Premissas.</t>
  </si>
  <si>
    <t xml:space="preserve">Família paga: acompanhante</t>
  </si>
  <si>
    <t xml:space="preserve">Família paga: transporte</t>
  </si>
  <si>
    <t xml:space="preserve">Família paga: taxa de serviço</t>
  </si>
  <si>
    <t xml:space="preserve">Total pago pela família</t>
  </si>
  <si>
    <t xml:space="preserve">Repasse ao acompanhante</t>
  </si>
  <si>
    <t xml:space="preserve">Carro ida e volta</t>
  </si>
  <si>
    <t xml:space="preserve">Seguro</t>
  </si>
  <si>
    <t xml:space="preserve">Sobra para o Zelo (margem de contribuição)</t>
  </si>
  <si>
    <t xml:space="preserve">% do que a família pagou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</si>
</sst>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;&quot;(R$ &quot;#,##0\);\-"/>
    <numFmt numFmtId="166" formatCode="&quot;R$ &quot;#,##0.00;&quot;(R$ &quot;#,##0.00\);\-"/>
    <numFmt numFmtId="167" formatCode="#,##0;\(#,##0\);\-"/>
    <numFmt numFmtId="168" formatCode="0.0%;\(0.0%\);\-"/>
    <numFmt numFmtId="169" formatCode="#,##0.0;\(#,##0.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B7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7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8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180</v>
      </c>
      <c r="C5" s="7" t="s">
        <v>4</v>
      </c>
    </row>
    <row r="6" customFormat="false" ht="15" hidden="false" customHeight="false" outlineLevel="0" collapsed="false">
      <c r="A6" s="5" t="s">
        <v>5</v>
      </c>
      <c r="B6" s="8" t="n">
        <v>80</v>
      </c>
      <c r="C6" s="7" t="s">
        <v>6</v>
      </c>
    </row>
    <row r="7" customFormat="false" ht="15" hidden="false" customHeight="false" outlineLevel="0" collapsed="false">
      <c r="A7" s="5" t="s">
        <v>7</v>
      </c>
      <c r="B7" s="8" t="n">
        <v>60</v>
      </c>
      <c r="C7" s="7" t="s">
        <v>8</v>
      </c>
    </row>
    <row r="8" customFormat="false" ht="15" hidden="false" customHeight="false" outlineLevel="0" collapsed="false">
      <c r="A8" s="5" t="s">
        <v>9</v>
      </c>
      <c r="B8" s="8" t="n">
        <v>15</v>
      </c>
      <c r="C8" s="7" t="s">
        <v>10</v>
      </c>
    </row>
    <row r="9" customFormat="false" ht="15" hidden="false" customHeight="false" outlineLevel="0" collapsed="false">
      <c r="A9" s="5" t="s">
        <v>11</v>
      </c>
      <c r="B9" s="9" t="n">
        <v>29.9</v>
      </c>
      <c r="C9" s="7" t="s">
        <v>6</v>
      </c>
    </row>
    <row r="10" customFormat="false" ht="15" hidden="false" customHeight="false" outlineLevel="0" collapsed="false">
      <c r="A10" s="3" t="s">
        <v>12</v>
      </c>
      <c r="B10" s="4"/>
      <c r="C10" s="4"/>
    </row>
    <row r="11" customFormat="false" ht="15" hidden="false" customHeight="false" outlineLevel="0" collapsed="false">
      <c r="A11" s="5" t="s">
        <v>13</v>
      </c>
      <c r="B11" s="10" t="n">
        <v>5</v>
      </c>
      <c r="C11" s="7" t="s">
        <v>14</v>
      </c>
    </row>
    <row r="12" customFormat="false" ht="15" hidden="false" customHeight="false" outlineLevel="0" collapsed="false">
      <c r="A12" s="5" t="s">
        <v>15</v>
      </c>
      <c r="B12" s="11" t="n">
        <v>500</v>
      </c>
      <c r="C12" s="7" t="s">
        <v>16</v>
      </c>
    </row>
    <row r="13" customFormat="false" ht="15" hidden="false" customHeight="false" outlineLevel="0" collapsed="false">
      <c r="A13" s="3" t="s">
        <v>17</v>
      </c>
      <c r="B13" s="4"/>
      <c r="C13" s="4"/>
    </row>
    <row r="14" customFormat="false" ht="15" hidden="false" customHeight="false" outlineLevel="0" collapsed="false">
      <c r="A14" s="5" t="s">
        <v>18</v>
      </c>
      <c r="B14" s="12" t="n">
        <v>0.8</v>
      </c>
      <c r="C14" s="7" t="s">
        <v>8</v>
      </c>
    </row>
    <row r="15" customFormat="false" ht="15" hidden="false" customHeight="false" outlineLevel="0" collapsed="false">
      <c r="A15" s="5" t="s">
        <v>19</v>
      </c>
      <c r="B15" s="12" t="n">
        <v>0.95</v>
      </c>
      <c r="C15" s="7" t="s">
        <v>8</v>
      </c>
    </row>
    <row r="16" customFormat="false" ht="15" hidden="false" customHeight="false" outlineLevel="0" collapsed="false">
      <c r="A16" s="5" t="s">
        <v>20</v>
      </c>
      <c r="B16" s="12" t="n">
        <v>0.1</v>
      </c>
      <c r="C16" s="7" t="s">
        <v>8</v>
      </c>
    </row>
    <row r="17" customFormat="false" ht="15" hidden="false" customHeight="false" outlineLevel="0" collapsed="false">
      <c r="A17" s="3" t="s">
        <v>21</v>
      </c>
      <c r="B17" s="4"/>
      <c r="C17" s="4"/>
    </row>
    <row r="18" customFormat="false" ht="15" hidden="false" customHeight="false" outlineLevel="0" collapsed="false">
      <c r="A18" s="5" t="s">
        <v>22</v>
      </c>
      <c r="B18" s="13" t="n">
        <v>0.75</v>
      </c>
      <c r="C18" s="7" t="s">
        <v>23</v>
      </c>
    </row>
    <row r="19" customFormat="false" ht="15" hidden="false" customHeight="false" outlineLevel="0" collapsed="false">
      <c r="A19" s="5" t="s">
        <v>24</v>
      </c>
      <c r="B19" s="8" t="n">
        <v>60</v>
      </c>
      <c r="C19" s="7" t="s">
        <v>25</v>
      </c>
    </row>
    <row r="20" customFormat="false" ht="15" hidden="false" customHeight="false" outlineLevel="0" collapsed="false">
      <c r="A20" s="5" t="s">
        <v>26</v>
      </c>
      <c r="B20" s="8" t="n">
        <v>45</v>
      </c>
      <c r="C20" s="7" t="s">
        <v>8</v>
      </c>
    </row>
    <row r="21" customFormat="false" ht="15" hidden="false" customHeight="false" outlineLevel="0" collapsed="false">
      <c r="A21" s="5" t="s">
        <v>27</v>
      </c>
      <c r="B21" s="12" t="n">
        <v>0.03</v>
      </c>
      <c r="C21" s="7" t="s">
        <v>28</v>
      </c>
    </row>
    <row r="22" customFormat="false" ht="15" hidden="false" customHeight="false" outlineLevel="0" collapsed="false">
      <c r="A22" s="5" t="s">
        <v>29</v>
      </c>
      <c r="B22" s="8" t="n">
        <v>4</v>
      </c>
      <c r="C22" s="7" t="s">
        <v>8</v>
      </c>
    </row>
    <row r="23" customFormat="false" ht="15" hidden="false" customHeight="false" outlineLevel="0" collapsed="false">
      <c r="A23" s="5" t="s">
        <v>30</v>
      </c>
      <c r="B23" s="8" t="n">
        <v>3</v>
      </c>
      <c r="C23" s="7" t="s">
        <v>31</v>
      </c>
    </row>
    <row r="24" customFormat="false" ht="15" hidden="false" customHeight="false" outlineLevel="0" collapsed="false">
      <c r="A24" s="5" t="s">
        <v>32</v>
      </c>
      <c r="B24" s="9" t="n">
        <v>1.5</v>
      </c>
      <c r="C24" s="7" t="s">
        <v>33</v>
      </c>
    </row>
    <row r="25" customFormat="false" ht="15" hidden="false" customHeight="false" outlineLevel="0" collapsed="false">
      <c r="A25" s="5" t="s">
        <v>34</v>
      </c>
      <c r="B25" s="12" t="n">
        <v>0.08</v>
      </c>
      <c r="C25" s="7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7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3" t="s">
        <v>38</v>
      </c>
      <c r="B4" s="14" t="s">
        <v>39</v>
      </c>
      <c r="C4" s="14" t="s">
        <v>40</v>
      </c>
      <c r="D4" s="14" t="s">
        <v>41</v>
      </c>
      <c r="E4" s="14" t="s">
        <v>42</v>
      </c>
    </row>
    <row r="5" customFormat="false" ht="15" hidden="false" customHeight="false" outlineLevel="0" collapsed="false">
      <c r="A5" s="15" t="s">
        <v>43</v>
      </c>
    </row>
    <row r="6" customFormat="false" ht="15" hidden="false" customHeight="false" outlineLevel="0" collapsed="false">
      <c r="A6" s="5" t="s">
        <v>44</v>
      </c>
      <c r="B6" s="11" t="n">
        <v>250</v>
      </c>
      <c r="C6" s="11" t="n">
        <v>1000</v>
      </c>
      <c r="D6" s="11" t="n">
        <v>2500</v>
      </c>
      <c r="E6" s="7" t="s">
        <v>45</v>
      </c>
    </row>
    <row r="7" customFormat="false" ht="15" hidden="false" customHeight="false" outlineLevel="0" collapsed="false">
      <c r="A7" s="5" t="s">
        <v>46</v>
      </c>
      <c r="B7" s="12" t="n">
        <v>0.15</v>
      </c>
      <c r="C7" s="12" t="n">
        <v>0.2</v>
      </c>
      <c r="D7" s="12" t="n">
        <v>0.25</v>
      </c>
      <c r="E7" s="7"/>
    </row>
    <row r="8" customFormat="false" ht="15" hidden="false" customHeight="false" outlineLevel="0" collapsed="false">
      <c r="A8" s="5" t="s">
        <v>47</v>
      </c>
      <c r="B8" s="16" t="n">
        <v>0.8</v>
      </c>
      <c r="C8" s="16" t="n">
        <v>0.8</v>
      </c>
      <c r="D8" s="16" t="n">
        <v>0.8</v>
      </c>
      <c r="E8" s="7"/>
    </row>
    <row r="9" customFormat="false" ht="15" hidden="false" customHeight="false" outlineLevel="0" collapsed="false">
      <c r="A9" s="5" t="s">
        <v>48</v>
      </c>
      <c r="B9" s="11" t="n">
        <v>5</v>
      </c>
      <c r="C9" s="11" t="n">
        <v>30</v>
      </c>
      <c r="D9" s="11" t="n">
        <v>90</v>
      </c>
      <c r="E9" s="7" t="s">
        <v>49</v>
      </c>
    </row>
    <row r="10" customFormat="false" ht="15" hidden="false" customHeight="false" outlineLevel="0" collapsed="false">
      <c r="A10" s="5" t="s">
        <v>50</v>
      </c>
      <c r="B10" s="12" t="n">
        <v>0.03</v>
      </c>
      <c r="C10" s="12" t="n">
        <v>0.04</v>
      </c>
      <c r="D10" s="12" t="n">
        <v>0.05</v>
      </c>
      <c r="E10" s="7" t="s">
        <v>51</v>
      </c>
    </row>
    <row r="11" customFormat="false" ht="15" hidden="false" customHeight="false" outlineLevel="0" collapsed="false">
      <c r="A11" s="5" t="s">
        <v>52</v>
      </c>
      <c r="B11" s="16" t="n">
        <v>1</v>
      </c>
      <c r="C11" s="16" t="n">
        <v>1</v>
      </c>
      <c r="D11" s="16" t="n">
        <v>1</v>
      </c>
      <c r="E11" s="7" t="s">
        <v>53</v>
      </c>
    </row>
    <row r="12" customFormat="false" ht="15" hidden="false" customHeight="false" outlineLevel="0" collapsed="false">
      <c r="A12" s="5" t="s">
        <v>54</v>
      </c>
      <c r="B12" s="17" t="n">
        <f aca="false">B9*Premissas!$B$12</f>
        <v>2500</v>
      </c>
      <c r="C12" s="17" t="n">
        <f aca="false">C9*Premissas!$B$12</f>
        <v>15000</v>
      </c>
      <c r="D12" s="17" t="n">
        <f aca="false">D9*Premissas!$B$12</f>
        <v>45000</v>
      </c>
      <c r="E12" s="7"/>
    </row>
    <row r="13" customFormat="false" ht="15" hidden="false" customHeight="false" outlineLevel="0" collapsed="false">
      <c r="A13" s="5" t="s">
        <v>55</v>
      </c>
      <c r="B13" s="17" t="n">
        <f aca="false">B12*B10</f>
        <v>75</v>
      </c>
      <c r="C13" s="17" t="n">
        <f aca="false">C12*C10</f>
        <v>600</v>
      </c>
      <c r="D13" s="17" t="n">
        <f aca="false">D12*D10</f>
        <v>2250</v>
      </c>
      <c r="E13" s="7"/>
    </row>
    <row r="14" customFormat="false" ht="15" hidden="false" customHeight="false" outlineLevel="0" collapsed="false">
      <c r="A14" s="5" t="s">
        <v>56</v>
      </c>
      <c r="B14" s="17" t="n">
        <f aca="false">B6*B8+B13*B11</f>
        <v>275</v>
      </c>
      <c r="C14" s="17" t="n">
        <f aca="false">C6*C8+C13*C11</f>
        <v>1400</v>
      </c>
      <c r="D14" s="17" t="n">
        <f aca="false">D6*D8+D13*D11</f>
        <v>4250</v>
      </c>
      <c r="E14" s="7"/>
    </row>
    <row r="15" customFormat="false" ht="15" hidden="false" customHeight="false" outlineLevel="0" collapsed="false">
      <c r="A15" s="5" t="s">
        <v>57</v>
      </c>
      <c r="B15" s="17" t="n">
        <f aca="false">B14*12</f>
        <v>3300</v>
      </c>
      <c r="C15" s="17" t="n">
        <f aca="false">C14*12</f>
        <v>16800</v>
      </c>
      <c r="D15" s="17" t="n">
        <f aca="false">D14*12</f>
        <v>51000</v>
      </c>
      <c r="E15" s="7"/>
    </row>
    <row r="16" customFormat="false" ht="15" hidden="false" customHeight="false" outlineLevel="0" collapsed="false">
      <c r="A16" s="5" t="s">
        <v>58</v>
      </c>
      <c r="B16" s="18" t="n">
        <f aca="false">IF(B14=0,0,B13*B11/B14)</f>
        <v>0.272727272727273</v>
      </c>
      <c r="C16" s="18" t="n">
        <f aca="false">IF(C14=0,0,C13*C11/C14)</f>
        <v>0.428571428571429</v>
      </c>
      <c r="D16" s="18" t="n">
        <f aca="false">IF(D14=0,0,D13*D11/D14)</f>
        <v>0.529411764705882</v>
      </c>
      <c r="E16" s="7"/>
    </row>
    <row r="17" customFormat="false" ht="15" hidden="false" customHeight="false" outlineLevel="0" collapsed="false">
      <c r="A17" s="5" t="s">
        <v>59</v>
      </c>
      <c r="B17" s="18" t="n">
        <f aca="false">IF(B14=0,0,(B6*B7*B8+B13*B11)/B14)</f>
        <v>0.381818181818182</v>
      </c>
      <c r="C17" s="18" t="n">
        <f aca="false">IF(C14=0,0,(C6*C7*C8+C13*C11)/C14)</f>
        <v>0.542857142857143</v>
      </c>
      <c r="D17" s="18" t="n">
        <f aca="false">IF(D14=0,0,(D6*D7*D8+D13*D11)/D14)</f>
        <v>0.647058823529412</v>
      </c>
      <c r="E17" s="7" t="s">
        <v>60</v>
      </c>
    </row>
    <row r="19" customFormat="false" ht="15" hidden="false" customHeight="false" outlineLevel="0" collapsed="false">
      <c r="A19" s="15" t="s">
        <v>61</v>
      </c>
    </row>
    <row r="20" customFormat="false" ht="15" hidden="false" customHeight="false" outlineLevel="0" collapsed="false">
      <c r="A20" s="5" t="s">
        <v>62</v>
      </c>
      <c r="B20" s="19" t="n">
        <f aca="false">B15*Premissas!$B$14*Premissas!$B$5</f>
        <v>475200</v>
      </c>
      <c r="C20" s="19" t="n">
        <f aca="false">C15*Premissas!$B$14*Premissas!$B$5</f>
        <v>2419200</v>
      </c>
      <c r="D20" s="19" t="n">
        <f aca="false">D15*Premissas!$B$14*Premissas!$B$5</f>
        <v>7344000</v>
      </c>
      <c r="E20" s="7" t="s">
        <v>63</v>
      </c>
    </row>
    <row r="21" customFormat="false" ht="15" hidden="false" customHeight="false" outlineLevel="0" collapsed="false">
      <c r="A21" s="5" t="s">
        <v>64</v>
      </c>
      <c r="B21" s="19" t="n">
        <f aca="false">B15*Premissas!$B$15*Premissas!$B$6</f>
        <v>250800</v>
      </c>
      <c r="C21" s="19" t="n">
        <f aca="false">C15*Premissas!$B$15*Premissas!$B$6</f>
        <v>1276800</v>
      </c>
      <c r="D21" s="19" t="n">
        <f aca="false">D15*Premissas!$B$15*Premissas!$B$6</f>
        <v>3876000</v>
      </c>
      <c r="E21" s="7"/>
    </row>
    <row r="22" customFormat="false" ht="15" hidden="false" customHeight="false" outlineLevel="0" collapsed="false">
      <c r="A22" s="5" t="s">
        <v>65</v>
      </c>
      <c r="B22" s="19" t="n">
        <f aca="false">B15*Premissas!$B$16*Premissas!$B$7</f>
        <v>19800</v>
      </c>
      <c r="C22" s="19" t="n">
        <f aca="false">C15*Premissas!$B$16*Premissas!$B$7</f>
        <v>100800</v>
      </c>
      <c r="D22" s="19" t="n">
        <f aca="false">D15*Premissas!$B$16*Premissas!$B$7</f>
        <v>306000</v>
      </c>
      <c r="E22" s="7"/>
    </row>
    <row r="23" customFormat="false" ht="15" hidden="false" customHeight="false" outlineLevel="0" collapsed="false">
      <c r="A23" s="5" t="s">
        <v>66</v>
      </c>
      <c r="B23" s="19" t="n">
        <f aca="false">B15*(1-B17)*Premissas!$B$8</f>
        <v>30600</v>
      </c>
      <c r="C23" s="19" t="n">
        <f aca="false">C15*(1-C17)*Premissas!$B$8</f>
        <v>115200</v>
      </c>
      <c r="D23" s="19" t="n">
        <f aca="false">D15*(1-D17)*Premissas!$B$8</f>
        <v>270000</v>
      </c>
      <c r="E23" s="7"/>
    </row>
    <row r="24" customFormat="false" ht="15" hidden="false" customHeight="false" outlineLevel="0" collapsed="false">
      <c r="A24" s="5" t="s">
        <v>67</v>
      </c>
      <c r="B24" s="19" t="n">
        <f aca="false">B6*B7*Premissas!$B$9*12</f>
        <v>13455</v>
      </c>
      <c r="C24" s="19" t="n">
        <f aca="false">C6*C7*Premissas!$B$9*12</f>
        <v>71760</v>
      </c>
      <c r="D24" s="19" t="n">
        <f aca="false">D6*D7*Premissas!$B$9*12</f>
        <v>224250</v>
      </c>
      <c r="E24" s="7"/>
    </row>
    <row r="25" customFormat="false" ht="15" hidden="false" customHeight="false" outlineLevel="0" collapsed="false">
      <c r="A25" s="5" t="s">
        <v>68</v>
      </c>
      <c r="B25" s="20" t="n">
        <f aca="false">B12*Premissas!$B$11*12</f>
        <v>150000</v>
      </c>
      <c r="C25" s="20" t="n">
        <f aca="false">C12*Premissas!$B$11*12</f>
        <v>900000</v>
      </c>
      <c r="D25" s="20" t="n">
        <f aca="false">D12*Premissas!$B$11*12</f>
        <v>2700000</v>
      </c>
      <c r="E25" s="7" t="s">
        <v>69</v>
      </c>
    </row>
    <row r="26" customFormat="false" ht="15" hidden="false" customHeight="false" outlineLevel="0" collapsed="false">
      <c r="A26" s="15" t="s">
        <v>70</v>
      </c>
      <c r="B26" s="21" t="n">
        <f aca="false">SUM(B20:B25)</f>
        <v>939855</v>
      </c>
      <c r="C26" s="21" t="n">
        <f aca="false">SUM(C20:C25)</f>
        <v>4883760</v>
      </c>
      <c r="D26" s="21" t="n">
        <f aca="false">SUM(D20:D25)</f>
        <v>14720250</v>
      </c>
      <c r="E26" s="7"/>
    </row>
    <row r="27" customFormat="false" ht="15" hidden="false" customHeight="false" outlineLevel="0" collapsed="false">
      <c r="A27" s="5" t="s">
        <v>71</v>
      </c>
      <c r="B27" s="19" t="n">
        <f aca="false">B26+B30+B31+B32</f>
        <v>380505</v>
      </c>
      <c r="C27" s="19" t="n">
        <f aca="false">C26+C30+C31+C32</f>
        <v>2036160</v>
      </c>
      <c r="D27" s="19" t="n">
        <f aca="false">D26+D30+D31+D32</f>
        <v>6075750</v>
      </c>
      <c r="E27" s="7" t="s">
        <v>72</v>
      </c>
    </row>
    <row r="29" customFormat="false" ht="15" hidden="false" customHeight="false" outlineLevel="0" collapsed="false">
      <c r="A29" s="15" t="s">
        <v>73</v>
      </c>
    </row>
    <row r="30" customFormat="false" ht="15" hidden="false" customHeight="false" outlineLevel="0" collapsed="false">
      <c r="A30" s="5" t="s">
        <v>74</v>
      </c>
      <c r="B30" s="19" t="n">
        <f aca="false">-B20*Premissas!$B$18</f>
        <v>-356400</v>
      </c>
      <c r="C30" s="19" t="n">
        <f aca="false">-C20*Premissas!$B$18</f>
        <v>-1814400</v>
      </c>
      <c r="D30" s="19" t="n">
        <f aca="false">-D20*Premissas!$B$18</f>
        <v>-5508000</v>
      </c>
      <c r="E30" s="7"/>
    </row>
    <row r="31" customFormat="false" ht="15" hidden="false" customHeight="false" outlineLevel="0" collapsed="false">
      <c r="A31" s="5" t="s">
        <v>75</v>
      </c>
      <c r="B31" s="19" t="n">
        <f aca="false">-B15*Premissas!$B$15*Premissas!$B$19</f>
        <v>-188100</v>
      </c>
      <c r="C31" s="19" t="n">
        <f aca="false">-C15*Premissas!$B$15*Premissas!$B$19</f>
        <v>-957600</v>
      </c>
      <c r="D31" s="19" t="n">
        <f aca="false">-D15*Premissas!$B$15*Premissas!$B$19</f>
        <v>-2907000</v>
      </c>
      <c r="E31" s="7"/>
    </row>
    <row r="32" customFormat="false" ht="15" hidden="false" customHeight="false" outlineLevel="0" collapsed="false">
      <c r="A32" s="5" t="s">
        <v>76</v>
      </c>
      <c r="B32" s="19" t="n">
        <f aca="false">-B15*Premissas!$B$16*Premissas!$B$20</f>
        <v>-14850</v>
      </c>
      <c r="C32" s="19" t="n">
        <f aca="false">-C15*Premissas!$B$16*Premissas!$B$20</f>
        <v>-75600</v>
      </c>
      <c r="D32" s="19" t="n">
        <f aca="false">-D15*Premissas!$B$16*Premissas!$B$20</f>
        <v>-229500</v>
      </c>
      <c r="E32" s="7"/>
    </row>
    <row r="33" customFormat="false" ht="15" hidden="false" customHeight="false" outlineLevel="0" collapsed="false">
      <c r="A33" s="5" t="s">
        <v>77</v>
      </c>
      <c r="B33" s="19" t="n">
        <f aca="false">-(B26-B25)*Premissas!$B$21</f>
        <v>-23695.65</v>
      </c>
      <c r="C33" s="19" t="n">
        <f aca="false">-(C26-C25)*Premissas!$B$21</f>
        <v>-119512.8</v>
      </c>
      <c r="D33" s="19" t="n">
        <f aca="false">-(D26-D25)*Premissas!$B$21</f>
        <v>-360607.5</v>
      </c>
      <c r="E33" s="7" t="s">
        <v>78</v>
      </c>
    </row>
    <row r="34" customFormat="false" ht="15" hidden="false" customHeight="false" outlineLevel="0" collapsed="false">
      <c r="A34" s="5" t="s">
        <v>79</v>
      </c>
      <c r="B34" s="19" t="n">
        <f aca="false">-B15*Premissas!$B$22</f>
        <v>-13200</v>
      </c>
      <c r="C34" s="19" t="n">
        <f aca="false">-C15*Premissas!$B$22</f>
        <v>-67200</v>
      </c>
      <c r="D34" s="19" t="n">
        <f aca="false">-D15*Premissas!$B$22</f>
        <v>-204000</v>
      </c>
      <c r="E34" s="7"/>
    </row>
    <row r="35" customFormat="false" ht="15" hidden="false" customHeight="false" outlineLevel="0" collapsed="false">
      <c r="A35" s="5" t="s">
        <v>80</v>
      </c>
      <c r="B35" s="19" t="n">
        <f aca="false">-(B15*Premissas!$B$23+(B6+B13)*12*Premissas!$B$24)</f>
        <v>-15750</v>
      </c>
      <c r="C35" s="19" t="n">
        <f aca="false">-(C15*Premissas!$B$23+(C6+C13)*12*Premissas!$B$24)</f>
        <v>-79200</v>
      </c>
      <c r="D35" s="19" t="n">
        <f aca="false">-(D15*Premissas!$B$23+(D6+D13)*12*Premissas!$B$24)</f>
        <v>-238500</v>
      </c>
      <c r="E35" s="7"/>
    </row>
    <row r="36" customFormat="false" ht="15" hidden="false" customHeight="false" outlineLevel="0" collapsed="false">
      <c r="A36" s="5" t="s">
        <v>81</v>
      </c>
      <c r="B36" s="19" t="n">
        <f aca="false">-B27*Premissas!$B$25</f>
        <v>-30440.4</v>
      </c>
      <c r="C36" s="19" t="n">
        <f aca="false">-C27*Premissas!$B$25</f>
        <v>-162892.8</v>
      </c>
      <c r="D36" s="19" t="n">
        <f aca="false">-D27*Premissas!$B$25</f>
        <v>-486060</v>
      </c>
      <c r="E36" s="7"/>
    </row>
    <row r="37" customFormat="false" ht="15" hidden="false" customHeight="false" outlineLevel="0" collapsed="false">
      <c r="A37" s="15" t="s">
        <v>82</v>
      </c>
      <c r="B37" s="21" t="n">
        <f aca="false">B26+SUM(B30:B36)</f>
        <v>297418.95</v>
      </c>
      <c r="C37" s="21" t="n">
        <f aca="false">C26+SUM(C30:C36)</f>
        <v>1607354.4</v>
      </c>
      <c r="D37" s="21" t="n">
        <f aca="false">D26+SUM(D30:D36)</f>
        <v>4786582.5</v>
      </c>
      <c r="E37" s="7"/>
    </row>
    <row r="38" customFormat="false" ht="15" hidden="false" customHeight="false" outlineLevel="0" collapsed="false">
      <c r="A38" s="5" t="s">
        <v>83</v>
      </c>
      <c r="B38" s="18" t="n">
        <f aca="false">IF(B26=0,0,B37/B26)</f>
        <v>0.316451952694831</v>
      </c>
      <c r="C38" s="18" t="n">
        <f aca="false">IF(C26=0,0,C37/C26)</f>
        <v>0.329122315592904</v>
      </c>
      <c r="D38" s="18" t="n">
        <f aca="false">IF(D26=0,0,D37/D26)</f>
        <v>0.325169918989148</v>
      </c>
      <c r="E38" s="7"/>
    </row>
    <row r="40" customFormat="false" ht="15" hidden="false" customHeight="false" outlineLevel="0" collapsed="false">
      <c r="A40" s="15" t="s">
        <v>84</v>
      </c>
    </row>
    <row r="41" customFormat="false" ht="15" hidden="false" customHeight="false" outlineLevel="0" collapsed="false">
      <c r="A41" s="5" t="s">
        <v>85</v>
      </c>
      <c r="B41" s="8" t="n">
        <v>12000</v>
      </c>
      <c r="C41" s="8" t="n">
        <v>32000</v>
      </c>
      <c r="D41" s="8" t="n">
        <v>60000</v>
      </c>
      <c r="E41" s="7" t="s">
        <v>86</v>
      </c>
    </row>
    <row r="42" customFormat="false" ht="15" hidden="false" customHeight="false" outlineLevel="0" collapsed="false">
      <c r="A42" s="5" t="s">
        <v>87</v>
      </c>
      <c r="B42" s="8" t="n">
        <v>9000</v>
      </c>
      <c r="C42" s="8" t="n">
        <v>18000</v>
      </c>
      <c r="D42" s="8" t="n">
        <v>30000</v>
      </c>
      <c r="E42" s="7" t="s">
        <v>88</v>
      </c>
    </row>
    <row r="43" customFormat="false" ht="15" hidden="false" customHeight="false" outlineLevel="0" collapsed="false">
      <c r="A43" s="5" t="s">
        <v>89</v>
      </c>
      <c r="B43" s="8" t="n">
        <v>10000</v>
      </c>
      <c r="C43" s="8" t="n">
        <v>25000</v>
      </c>
      <c r="D43" s="8" t="n">
        <v>40000</v>
      </c>
      <c r="E43" s="7"/>
    </row>
    <row r="44" customFormat="false" ht="15" hidden="false" customHeight="false" outlineLevel="0" collapsed="false">
      <c r="A44" s="5" t="s">
        <v>90</v>
      </c>
      <c r="B44" s="8" t="n">
        <v>8000</v>
      </c>
      <c r="C44" s="8" t="n">
        <v>15000</v>
      </c>
      <c r="D44" s="8" t="n">
        <v>25000</v>
      </c>
      <c r="E44" s="7" t="s">
        <v>91</v>
      </c>
    </row>
    <row r="45" customFormat="false" ht="15" hidden="false" customHeight="false" outlineLevel="0" collapsed="false">
      <c r="A45" s="5" t="s">
        <v>92</v>
      </c>
      <c r="B45" s="8" t="n">
        <v>4000</v>
      </c>
      <c r="C45" s="8" t="n">
        <v>8000</v>
      </c>
      <c r="D45" s="8" t="n">
        <v>15000</v>
      </c>
      <c r="E45" s="7"/>
    </row>
    <row r="46" customFormat="false" ht="15" hidden="false" customHeight="false" outlineLevel="0" collapsed="false">
      <c r="A46" s="5" t="s">
        <v>93</v>
      </c>
      <c r="B46" s="8" t="n">
        <v>8000</v>
      </c>
      <c r="C46" s="8" t="n">
        <v>15000</v>
      </c>
      <c r="D46" s="8" t="n">
        <v>28000</v>
      </c>
      <c r="E46" s="7" t="s">
        <v>94</v>
      </c>
    </row>
    <row r="47" customFormat="false" ht="15" hidden="false" customHeight="false" outlineLevel="0" collapsed="false">
      <c r="A47" s="5" t="s">
        <v>95</v>
      </c>
      <c r="B47" s="8" t="n">
        <v>4000</v>
      </c>
      <c r="C47" s="8" t="n">
        <v>7000</v>
      </c>
      <c r="D47" s="8" t="n">
        <v>12000</v>
      </c>
      <c r="E47" s="7"/>
    </row>
    <row r="48" customFormat="false" ht="15" hidden="false" customHeight="false" outlineLevel="0" collapsed="false">
      <c r="A48" s="5" t="s">
        <v>96</v>
      </c>
      <c r="B48" s="19" t="n">
        <f aca="false">SUM(B41:B47)</f>
        <v>55000</v>
      </c>
      <c r="C48" s="19" t="n">
        <f aca="false">SUM(C41:C47)</f>
        <v>120000</v>
      </c>
      <c r="D48" s="19" t="n">
        <f aca="false">SUM(D41:D47)</f>
        <v>210000</v>
      </c>
      <c r="E48" s="7"/>
    </row>
    <row r="49" customFormat="false" ht="15" hidden="false" customHeight="false" outlineLevel="0" collapsed="false">
      <c r="A49" s="15" t="s">
        <v>97</v>
      </c>
      <c r="B49" s="21" t="n">
        <f aca="false">-B48*12</f>
        <v>-660000</v>
      </c>
      <c r="C49" s="21" t="n">
        <f aca="false">-C48*12</f>
        <v>-1440000</v>
      </c>
      <c r="D49" s="21" t="n">
        <f aca="false">-D48*12</f>
        <v>-2520000</v>
      </c>
      <c r="E49" s="7"/>
    </row>
    <row r="51" customFormat="false" ht="15" hidden="false" customHeight="false" outlineLevel="0" collapsed="false">
      <c r="A51" s="15" t="s">
        <v>98</v>
      </c>
    </row>
    <row r="52" customFormat="false" ht="15" hidden="false" customHeight="false" outlineLevel="0" collapsed="false">
      <c r="A52" s="5" t="s">
        <v>99</v>
      </c>
      <c r="B52" s="19" t="n">
        <f aca="false">B37+B49</f>
        <v>-362581.05</v>
      </c>
      <c r="C52" s="19" t="n">
        <f aca="false">C37+C49</f>
        <v>167354.4</v>
      </c>
      <c r="D52" s="19" t="n">
        <f aca="false">D37+D49</f>
        <v>2266582.5</v>
      </c>
      <c r="E52" s="7"/>
    </row>
    <row r="53" customFormat="false" ht="15" hidden="false" customHeight="false" outlineLevel="0" collapsed="false">
      <c r="A53" s="5" t="s">
        <v>100</v>
      </c>
      <c r="B53" s="8" t="n">
        <v>6000</v>
      </c>
      <c r="C53" s="8" t="n">
        <v>20000</v>
      </c>
      <c r="D53" s="8" t="n">
        <v>40000</v>
      </c>
      <c r="E53" s="7" t="s">
        <v>101</v>
      </c>
    </row>
    <row r="54" customFormat="false" ht="15" hidden="false" customHeight="false" outlineLevel="0" collapsed="false">
      <c r="A54" s="15" t="s">
        <v>102</v>
      </c>
      <c r="B54" s="22" t="n">
        <f aca="false">B52-B53</f>
        <v>-368581.05</v>
      </c>
      <c r="C54" s="22" t="n">
        <f aca="false">C52-C53</f>
        <v>147354.4</v>
      </c>
      <c r="D54" s="22" t="n">
        <f aca="false">D52-D53</f>
        <v>2226582.5</v>
      </c>
      <c r="E54" s="7"/>
    </row>
    <row r="55" customFormat="false" ht="15" hidden="false" customHeight="false" outlineLevel="0" collapsed="false">
      <c r="A55" s="5" t="s">
        <v>103</v>
      </c>
      <c r="B55" s="18" t="n">
        <f aca="false">IF(B26=0,0,B54/B26)</f>
        <v>-0.392167993999074</v>
      </c>
      <c r="C55" s="18" t="n">
        <f aca="false">IF(C26=0,0,C54/C26)</f>
        <v>0.0301723262404378</v>
      </c>
      <c r="D55" s="18" t="n">
        <f aca="false">IF(D26=0,0,D54/D26)</f>
        <v>0.151259829146923</v>
      </c>
      <c r="E55" s="7"/>
    </row>
    <row r="56" customFormat="false" ht="15" hidden="false" customHeight="false" outlineLevel="0" collapsed="false">
      <c r="A56" s="15" t="s">
        <v>104</v>
      </c>
      <c r="B56" s="21" t="n">
        <f aca="false">B54</f>
        <v>-368581.05</v>
      </c>
      <c r="C56" s="21" t="n">
        <f aca="false">B56+C54</f>
        <v>-221226.65</v>
      </c>
      <c r="D56" s="21" t="n">
        <f aca="false">C56+D54</f>
        <v>2005355.85</v>
      </c>
      <c r="E56" s="7" t="s">
        <v>105</v>
      </c>
    </row>
    <row r="58" customFormat="false" ht="15" hidden="false" customHeight="false" outlineLevel="0" collapsed="false">
      <c r="A58" s="15" t="s">
        <v>106</v>
      </c>
    </row>
    <row r="59" customFormat="false" ht="15" hidden="false" customHeight="false" outlineLevel="0" collapsed="false">
      <c r="A59" s="5" t="s">
        <v>107</v>
      </c>
      <c r="B59" s="19" t="n">
        <f aca="false">B25*(1-Premissas!$B$25)</f>
        <v>138000</v>
      </c>
      <c r="C59" s="19" t="n">
        <f aca="false">C25*(1-Premissas!$B$25)</f>
        <v>828000</v>
      </c>
      <c r="D59" s="19" t="n">
        <f aca="false">D25*(1-Premissas!$B$25)</f>
        <v>2484000</v>
      </c>
      <c r="E59" s="7" t="s">
        <v>108</v>
      </c>
    </row>
    <row r="60" customFormat="false" ht="15" hidden="false" customHeight="false" outlineLevel="0" collapsed="false">
      <c r="A60" s="5" t="s">
        <v>109</v>
      </c>
      <c r="B60" s="23" t="n">
        <f aca="false">IF(B15=0,0,(B37-B59)/B15)</f>
        <v>48.3087727272727</v>
      </c>
      <c r="C60" s="23" t="n">
        <f aca="false">IF(C15=0,0,(C37-C59)/C15)</f>
        <v>46.3901428571429</v>
      </c>
      <c r="D60" s="23" t="n">
        <f aca="false">IF(D15=0,0,(D37-D59)/D15)</f>
        <v>45.1486764705882</v>
      </c>
      <c r="E60" s="7"/>
    </row>
    <row r="61" customFormat="false" ht="15" hidden="false" customHeight="false" outlineLevel="0" collapsed="false">
      <c r="A61" s="5" t="s">
        <v>110</v>
      </c>
      <c r="B61" s="17" t="n">
        <f aca="false">IF(B60&lt;=0,0,(-B49+B53-B59)/B60/12)</f>
        <v>910.807654924337</v>
      </c>
      <c r="C61" s="17" t="n">
        <f aca="false">IF(C60&lt;=0,0,(-C49+C53-C59)/C60/12)</f>
        <v>1135.29865232043</v>
      </c>
      <c r="D61" s="17" t="n">
        <f aca="false">IF(D60&lt;=0,0,(-D49+D53-D59)/D60/12)</f>
        <v>140.277275624218</v>
      </c>
      <c r="E61" s="7" t="s">
        <v>111</v>
      </c>
    </row>
    <row r="62" customFormat="false" ht="15" hidden="false" customHeight="false" outlineLevel="0" collapsed="false">
      <c r="A62" s="5" t="s">
        <v>112</v>
      </c>
      <c r="B62" s="17" t="n">
        <f aca="false">IF(B60&lt;=0,0,(-B49+B53)/B60/12)</f>
        <v>1148.8596556432</v>
      </c>
      <c r="C62" s="17" t="n">
        <f aca="false">IF(C60&lt;=0,0,(-C49+C53)/C60/12)</f>
        <v>2622.68359555037</v>
      </c>
      <c r="D62" s="17" t="n">
        <f aca="false">IF(D60&lt;=0,0,(-D49+D53)/D60/12)</f>
        <v>4725.12928418417</v>
      </c>
      <c r="E62" s="7"/>
    </row>
    <row r="63" customFormat="false" ht="15" hidden="false" customHeight="false" outlineLevel="0" collapsed="false">
      <c r="A63" s="5" t="s">
        <v>113</v>
      </c>
      <c r="B63" s="19" t="n">
        <f aca="false">B54-B59</f>
        <v>-506581.05</v>
      </c>
      <c r="C63" s="19" t="n">
        <f aca="false">C54-C59</f>
        <v>-680645.6</v>
      </c>
      <c r="D63" s="19" t="n">
        <f aca="false">D54-D59</f>
        <v>-257417.5</v>
      </c>
      <c r="E63" s="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117</v>
      </c>
      <c r="B4" s="14" t="s">
        <v>39</v>
      </c>
      <c r="C4" s="14" t="s">
        <v>40</v>
      </c>
      <c r="D4" s="14" t="s">
        <v>41</v>
      </c>
    </row>
    <row r="5" customFormat="false" ht="15" hidden="false" customHeight="false" outlineLevel="0" collapsed="false">
      <c r="A5" s="9" t="n">
        <v>0</v>
      </c>
      <c r="B5" s="19" t="n">
        <f aca="false">'DRE 3 anos'!B54+'DRE 3 anos'!B12*12*($A5-Premissas!$B$11)*(1-Premissas!$B$25)</f>
        <v>-506581.05</v>
      </c>
      <c r="C5" s="19" t="n">
        <f aca="false">'DRE 3 anos'!C54+'DRE 3 anos'!C12*12*($A5-Premissas!$B$11)*(1-Premissas!$B$25)</f>
        <v>-680645.6</v>
      </c>
      <c r="D5" s="19" t="n">
        <f aca="false">'DRE 3 anos'!D54+'DRE 3 anos'!D12*12*($A5-Premissas!$B$11)*(1-Premissas!$B$25)</f>
        <v>-257417.5</v>
      </c>
    </row>
    <row r="6" customFormat="false" ht="15" hidden="false" customHeight="false" outlineLevel="0" collapsed="false">
      <c r="A6" s="9" t="n">
        <v>2</v>
      </c>
      <c r="B6" s="19" t="n">
        <f aca="false">'DRE 3 anos'!B54+'DRE 3 anos'!B12*12*($A6-Premissas!$B$11)*(1-Premissas!$B$25)</f>
        <v>-451381.05</v>
      </c>
      <c r="C6" s="19" t="n">
        <f aca="false">'DRE 3 anos'!C54+'DRE 3 anos'!C12*12*($A6-Premissas!$B$11)*(1-Premissas!$B$25)</f>
        <v>-349445.6</v>
      </c>
      <c r="D6" s="19" t="n">
        <f aca="false">'DRE 3 anos'!D54+'DRE 3 anos'!D12*12*($A6-Premissas!$B$11)*(1-Premissas!$B$25)</f>
        <v>736182.5</v>
      </c>
    </row>
    <row r="7" customFormat="false" ht="15" hidden="false" customHeight="false" outlineLevel="0" collapsed="false">
      <c r="A7" s="9" t="n">
        <v>3</v>
      </c>
      <c r="B7" s="19" t="n">
        <f aca="false">'DRE 3 anos'!B54+'DRE 3 anos'!B12*12*($A7-Premissas!$B$11)*(1-Premissas!$B$25)</f>
        <v>-423781.05</v>
      </c>
      <c r="C7" s="19" t="n">
        <f aca="false">'DRE 3 anos'!C54+'DRE 3 anos'!C12*12*($A7-Premissas!$B$11)*(1-Premissas!$B$25)</f>
        <v>-183845.6</v>
      </c>
      <c r="D7" s="19" t="n">
        <f aca="false">'DRE 3 anos'!D54+'DRE 3 anos'!D12*12*($A7-Premissas!$B$11)*(1-Premissas!$B$25)</f>
        <v>1232982.5</v>
      </c>
    </row>
    <row r="8" customFormat="false" ht="15" hidden="false" customHeight="false" outlineLevel="0" collapsed="false">
      <c r="A8" s="9" t="n">
        <v>4</v>
      </c>
      <c r="B8" s="19" t="n">
        <f aca="false">'DRE 3 anos'!B54+'DRE 3 anos'!B12*12*($A8-Premissas!$B$11)*(1-Premissas!$B$25)</f>
        <v>-396181.05</v>
      </c>
      <c r="C8" s="19" t="n">
        <f aca="false">'DRE 3 anos'!C54+'DRE 3 anos'!C12*12*($A8-Premissas!$B$11)*(1-Premissas!$B$25)</f>
        <v>-18245.5999999996</v>
      </c>
      <c r="D8" s="19" t="n">
        <f aca="false">'DRE 3 anos'!D54+'DRE 3 anos'!D12*12*($A8-Premissas!$B$11)*(1-Premissas!$B$25)</f>
        <v>1729782.5</v>
      </c>
    </row>
    <row r="9" customFormat="false" ht="15" hidden="false" customHeight="false" outlineLevel="0" collapsed="false">
      <c r="A9" s="9" t="n">
        <v>5</v>
      </c>
      <c r="B9" s="19" t="n">
        <f aca="false">'DRE 3 anos'!B54+'DRE 3 anos'!B12*12*($A9-Premissas!$B$11)*(1-Premissas!$B$25)</f>
        <v>-368581.05</v>
      </c>
      <c r="C9" s="19" t="n">
        <f aca="false">'DRE 3 anos'!C54+'DRE 3 anos'!C12*12*($A9-Premissas!$B$11)*(1-Premissas!$B$25)</f>
        <v>147354.4</v>
      </c>
      <c r="D9" s="19" t="n">
        <f aca="false">'DRE 3 anos'!D54+'DRE 3 anos'!D12*12*($A9-Premissas!$B$11)*(1-Premissas!$B$25)</f>
        <v>2226582.5</v>
      </c>
    </row>
    <row r="10" customFormat="false" ht="15" hidden="false" customHeight="false" outlineLevel="0" collapsed="false">
      <c r="A10" s="9" t="n">
        <v>6</v>
      </c>
      <c r="B10" s="19" t="n">
        <f aca="false">'DRE 3 anos'!B54+'DRE 3 anos'!B12*12*($A10-Premissas!$B$11)*(1-Premissas!$B$25)</f>
        <v>-340981.05</v>
      </c>
      <c r="C10" s="19" t="n">
        <f aca="false">'DRE 3 anos'!C54+'DRE 3 anos'!C12*12*($A10-Premissas!$B$11)*(1-Premissas!$B$25)</f>
        <v>312954.4</v>
      </c>
      <c r="D10" s="19" t="n">
        <f aca="false">'DRE 3 anos'!D54+'DRE 3 anos'!D12*12*($A10-Premissas!$B$11)*(1-Premissas!$B$25)</f>
        <v>2723382.5</v>
      </c>
    </row>
    <row r="11" customFormat="false" ht="15" hidden="false" customHeight="false" outlineLevel="0" collapsed="false">
      <c r="A11" s="9" t="n">
        <v>8</v>
      </c>
      <c r="B11" s="19" t="n">
        <f aca="false">'DRE 3 anos'!B54+'DRE 3 anos'!B12*12*($A11-Premissas!$B$11)*(1-Premissas!$B$25)</f>
        <v>-285781.05</v>
      </c>
      <c r="C11" s="19" t="n">
        <f aca="false">'DRE 3 anos'!C54+'DRE 3 anos'!C12*12*($A11-Premissas!$B$11)*(1-Premissas!$B$25)</f>
        <v>644154.4</v>
      </c>
      <c r="D11" s="19" t="n">
        <f aca="false">'DRE 3 anos'!D54+'DRE 3 anos'!D12*12*($A11-Premissas!$B$11)*(1-Premissas!$B$25)</f>
        <v>3716982.5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5" t="s">
        <v>120</v>
      </c>
      <c r="B4" s="23" t="n">
        <f aca="false">Premissas!$B$5</f>
        <v>180</v>
      </c>
    </row>
    <row r="5" customFormat="false" ht="15" hidden="false" customHeight="false" outlineLevel="0" collapsed="false">
      <c r="A5" s="5" t="s">
        <v>121</v>
      </c>
      <c r="B5" s="23" t="n">
        <f aca="false">Premissas!$B$6</f>
        <v>80</v>
      </c>
    </row>
    <row r="6" customFormat="false" ht="15" hidden="false" customHeight="false" outlineLevel="0" collapsed="false">
      <c r="A6" s="5" t="s">
        <v>122</v>
      </c>
      <c r="B6" s="23" t="n">
        <f aca="false">Premissas!$B$8</f>
        <v>15</v>
      </c>
    </row>
    <row r="7" customFormat="false" ht="15" hidden="false" customHeight="false" outlineLevel="0" collapsed="false">
      <c r="A7" s="15" t="s">
        <v>123</v>
      </c>
      <c r="B7" s="24" t="n">
        <f aca="false">SUM(B4:B6)</f>
        <v>275</v>
      </c>
    </row>
    <row r="9" customFormat="false" ht="15" hidden="false" customHeight="false" outlineLevel="0" collapsed="false">
      <c r="A9" s="5" t="s">
        <v>124</v>
      </c>
      <c r="B9" s="23" t="n">
        <f aca="false">-B4*Premissas!$B$18</f>
        <v>-135</v>
      </c>
    </row>
    <row r="10" customFormat="false" ht="15" hidden="false" customHeight="false" outlineLevel="0" collapsed="false">
      <c r="A10" s="5" t="s">
        <v>125</v>
      </c>
      <c r="B10" s="23" t="n">
        <f aca="false">-Premissas!$B$19</f>
        <v>-60</v>
      </c>
    </row>
    <row r="11" customFormat="false" ht="15" hidden="false" customHeight="false" outlineLevel="0" collapsed="false">
      <c r="A11" s="5" t="s">
        <v>77</v>
      </c>
      <c r="B11" s="23" t="n">
        <f aca="false">-B7*Premissas!$B$21</f>
        <v>-8.25</v>
      </c>
    </row>
    <row r="12" customFormat="false" ht="15" hidden="false" customHeight="false" outlineLevel="0" collapsed="false">
      <c r="A12" s="5" t="s">
        <v>126</v>
      </c>
      <c r="B12" s="23" t="n">
        <f aca="false">-Premissas!$B$22</f>
        <v>-4</v>
      </c>
    </row>
    <row r="13" customFormat="false" ht="15" hidden="false" customHeight="false" outlineLevel="0" collapsed="false">
      <c r="A13" s="5" t="s">
        <v>80</v>
      </c>
      <c r="B13" s="23" t="n">
        <f aca="false">-Premissas!$B$23</f>
        <v>-3</v>
      </c>
    </row>
    <row r="14" customFormat="false" ht="15" hidden="false" customHeight="false" outlineLevel="0" collapsed="false">
      <c r="A14" s="5" t="s">
        <v>81</v>
      </c>
      <c r="B14" s="23" t="n">
        <f aca="false">-(B7+B9+B10)*Premissas!$B$25</f>
        <v>-6.4</v>
      </c>
    </row>
    <row r="15" customFormat="false" ht="15" hidden="false" customHeight="false" outlineLevel="0" collapsed="false">
      <c r="A15" s="15" t="s">
        <v>127</v>
      </c>
      <c r="B15" s="24" t="n">
        <f aca="false">B7+SUM(B9:B14)</f>
        <v>58.35</v>
      </c>
    </row>
    <row r="16" customFormat="false" ht="15" hidden="false" customHeight="false" outlineLevel="0" collapsed="false">
      <c r="A16" s="5" t="s">
        <v>128</v>
      </c>
      <c r="B16" s="18" t="n">
        <f aca="false">IF(B7=0,0,B15/B7)</f>
        <v>0.212181818181818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2026-10-08T12:19:36Z</dcterms:created>
  <dc:creator>openpyxl</dc:creator>
  <dc:description/>
  <dc:language>en-US</dc:language>
  <cp:lastModifiedBy/>
  <dcterms:modified xsi:type="dcterms:W3CDTF">2026-10-08T12:19:36Z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