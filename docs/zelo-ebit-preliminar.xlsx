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EBIT" sheetId="2" state="visible" r:id="rId4"/>
    <sheet name="Por atendiment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<sst xmlns="http://schemas.openxmlformats.org/spreadsheetml/2006/main" count="114" uniqueCount="105">
  <si>
    <t xml:space="preserve">Zelo — Premissas (todas são hipóteses a validar)</t>
  </si>
  <si>
    <t xml:space="preserve">Edite as células em azul. Amarelo = premissas que mais mexem no resultado.</t>
  </si>
  <si>
    <t xml:space="preserve">PREÇOS (o que a família / empresa paga)</t>
  </si>
  <si>
    <t xml:space="preserve">Acompanhante (bloco de até 4h)</t>
  </si>
  <si>
    <t xml:space="preserve">Sugestão do grupo; entrevista: ~R$300 pelo DIA inteiro</t>
  </si>
  <si>
    <t xml:space="preserve">Transporte ida e volta (até 15 km)</t>
  </si>
  <si>
    <t xml:space="preserve">Definido pelo grupo</t>
  </si>
  <si>
    <t xml:space="preserve">Adicional veículo adaptado (rampa)</t>
  </si>
  <si>
    <t xml:space="preserve">Estimativa</t>
  </si>
  <si>
    <t xml:space="preserve">Taxa de serviço por atendimento (plano Grátis)</t>
  </si>
  <si>
    <t xml:space="preserve">Isenta no Zelo+ e no Zelo Empresas</t>
  </si>
  <si>
    <t xml:space="preserve">Zelo+ (mensal por família)</t>
  </si>
  <si>
    <t xml:space="preserve">Zelo Empresas (mensal por família inscrita)</t>
  </si>
  <si>
    <t xml:space="preserve">Empresa paga; família tem Zelo+</t>
  </si>
  <si>
    <t xml:space="preserve">MIX DOS ATENDIMENTOS</t>
  </si>
  <si>
    <t xml:space="preserve">% dos atendimentos com acompanhante</t>
  </si>
  <si>
    <t xml:space="preserve">% dos atendimentos com transporte</t>
  </si>
  <si>
    <t xml:space="preserve">% dos atendimentos com veículo adaptado</t>
  </si>
  <si>
    <t xml:space="preserve">CUSTOS VARIÁVEIS</t>
  </si>
  <si>
    <t xml:space="preserve">Repasse ao acompanhante (% do preço)</t>
  </si>
  <si>
    <t xml:space="preserve">Estimativa; Zelo fica com 25%</t>
  </si>
  <si>
    <t xml:space="preserve">Custo do carro ida e volta (99/Uber/táxi)</t>
  </si>
  <si>
    <t xml:space="preserve">Estimativa: 2 corridas de ~6 km em SP</t>
  </si>
  <si>
    <t xml:space="preserve">Custo adicional da frota adaptada</t>
  </si>
  <si>
    <t xml:space="preserve">Taxa de pagamento (% do valor cobrado)</t>
  </si>
  <si>
    <t xml:space="preserve">Cartão/Pix intermediado; estimativa</t>
  </si>
  <si>
    <t xml:space="preserve">Seguro de acidentes pessoais por atendimento</t>
  </si>
  <si>
    <t xml:space="preserve">IA + WhatsApp por atendimento</t>
  </si>
  <si>
    <t xml:space="preserve">Estimativa (conversa de agendamento + avisos do dia)</t>
  </si>
  <si>
    <t xml:space="preserve">IA + WhatsApp por família ativa no mês</t>
  </si>
  <si>
    <t xml:space="preserve">Estimativa (lembretes, perguntas)</t>
  </si>
  <si>
    <t xml:space="preserve">Impostos sobre a receita própria do Zelo</t>
  </si>
  <si>
    <t xml:space="preserve">Simples Nacional, faixa inicial; estimativa. Base = entradas − repasses − carros</t>
  </si>
  <si>
    <t xml:space="preserve">Zelo — Entradas, saídas e EBIT preliminar</t>
  </si>
  <si>
    <t xml:space="preserve">R$ por mês · cenários hipotéticos · modelo: acompanhante Zelo + carro sob demanda</t>
  </si>
  <si>
    <t xml:space="preserve">Linha</t>
  </si>
  <si>
    <t xml:space="preserve">Piloto (mês 6)</t>
  </si>
  <si>
    <t xml:space="preserve">Fim do ano 1</t>
  </si>
  <si>
    <t xml:space="preserve">Ano 3 (escala SP)</t>
  </si>
  <si>
    <t xml:space="preserve">Como é calculado</t>
  </si>
  <si>
    <t xml:space="preserve">VOLUME (premissas do cenário)</t>
  </si>
  <si>
    <t xml:space="preserve">Atendimentos por mês</t>
  </si>
  <si>
    <t xml:space="preserve">~10/dia no piloto; ~270/dia no ano 3</t>
  </si>
  <si>
    <t xml:space="preserve">Famílias ativas</t>
  </si>
  <si>
    <t xml:space="preserve">% das famílias no Zelo+</t>
  </si>
  <si>
    <t xml:space="preserve">Famílias via Zelo Empresas</t>
  </si>
  <si>
    <t xml:space="preserve">ex.: 2 / 10 / 50 empresas</t>
  </si>
  <si>
    <t xml:space="preserve">% dos atendimentos isentos da taxa de serviço</t>
  </si>
  <si>
    <t xml:space="preserve">atendimentos de famílias Zelo+ ou Empresas</t>
  </si>
  <si>
    <t xml:space="preserve">ENTRADAS (dinheiro que entra)</t>
  </si>
  <si>
    <t xml:space="preserve">Acompanhantes</t>
  </si>
  <si>
    <t xml:space="preserve">atendimentos × % com acompanhante × preço</t>
  </si>
  <si>
    <t xml:space="preserve">Transporte</t>
  </si>
  <si>
    <t xml:space="preserve">atendimentos × % com transporte × preço</t>
  </si>
  <si>
    <t xml:space="preserve">Adicional veículo adaptado</t>
  </si>
  <si>
    <t xml:space="preserve">Taxa de serviço (plano Grátis)</t>
  </si>
  <si>
    <t xml:space="preserve">Assinaturas Zelo+</t>
  </si>
  <si>
    <t xml:space="preserve">Zelo Empresas</t>
  </si>
  <si>
    <t xml:space="preserve">faturado por boleto à empresa</t>
  </si>
  <si>
    <t xml:space="preserve">Total de entradas</t>
  </si>
  <si>
    <t xml:space="preserve">SAÍDAS VARIÁVEIS</t>
  </si>
  <si>
    <t xml:space="preserve">Repasse aos acompanhantes</t>
  </si>
  <si>
    <t xml:space="preserve">Carros sob demanda (99/Uber/táxi)</t>
  </si>
  <si>
    <t xml:space="preserve">Frota adaptada parceira</t>
  </si>
  <si>
    <t xml:space="preserve">Taxa de pagamento</t>
  </si>
  <si>
    <t xml:space="preserve">sobre tudo, menos o boleto B2B</t>
  </si>
  <si>
    <t xml:space="preserve">Seguro por atendimento</t>
  </si>
  <si>
    <t xml:space="preserve">IA + WhatsApp</t>
  </si>
  <si>
    <t xml:space="preserve">Impostos sobre a receita própria</t>
  </si>
  <si>
    <t xml:space="preserve">base = entradas − repasses − carros</t>
  </si>
  <si>
    <t xml:space="preserve">Margem de contribuição</t>
  </si>
  <si>
    <t xml:space="preserve">Margem de contribuição (% das entradas)</t>
  </si>
  <si>
    <t xml:space="preserve">CUSTOS FIXOS (R$/mês)</t>
  </si>
  <si>
    <t xml:space="preserve">Equipe de operação e atendimento (com encargos)</t>
  </si>
  <si>
    <t xml:space="preserve">2 / 6 / 16 pessoas</t>
  </si>
  <si>
    <t xml:space="preserve">Pró-labore dos fundadores</t>
  </si>
  <si>
    <t xml:space="preserve">Tecnologia (desenvolvimento e nuvem)</t>
  </si>
  <si>
    <t xml:space="preserve">Marketing e aquisição de famílias</t>
  </si>
  <si>
    <t xml:space="preserve">Recrutamento e treinamento de parceiros</t>
  </si>
  <si>
    <t xml:space="preserve">Vendas B2B (RH)</t>
  </si>
  <si>
    <t xml:space="preserve">Jurídico, contábil e administrativo</t>
  </si>
  <si>
    <t xml:space="preserve">Total de custos fixos</t>
  </si>
  <si>
    <t xml:space="preserve">RESULTADO</t>
  </si>
  <si>
    <t xml:space="preserve">EBITDA</t>
  </si>
  <si>
    <t xml:space="preserve">Depreciação e amortização</t>
  </si>
  <si>
    <t xml:space="preserve">notebooks, desenvolvimento do app</t>
  </si>
  <si>
    <t xml:space="preserve">EBIT preliminar</t>
  </si>
  <si>
    <t xml:space="preserve">Margem EBIT (% das entradas)</t>
  </si>
  <si>
    <t xml:space="preserve">PONTO DE EQUILÍBRIO</t>
  </si>
  <si>
    <t xml:space="preserve">Margem das assinaturas (Zelo+ e Empresas)</t>
  </si>
  <si>
    <t xml:space="preserve">o que sobra das assinaturas depois de imposto, pagamento e IA</t>
  </si>
  <si>
    <t xml:space="preserve">Margem por atendimento</t>
  </si>
  <si>
    <t xml:space="preserve">Atendimentos/mês para EBIT = 0</t>
  </si>
  <si>
    <t xml:space="preserve">mantendo os custos fixos do cenário</t>
  </si>
  <si>
    <t xml:space="preserve">Um atendimento: acompanhante + carro (família no plano Grátis)</t>
  </si>
  <si>
    <t xml:space="preserve">Valores puxados da aba Premissas (verde).</t>
  </si>
  <si>
    <t xml:space="preserve">Família paga: acompanhante</t>
  </si>
  <si>
    <t xml:space="preserve">Família paga: transporte</t>
  </si>
  <si>
    <t xml:space="preserve">Família paga: taxa de serviço</t>
  </si>
  <si>
    <t xml:space="preserve">Total pago pela família</t>
  </si>
  <si>
    <t xml:space="preserve">Repasse ao acompanhante</t>
  </si>
  <si>
    <t xml:space="preserve">Carro ida e volta</t>
  </si>
  <si>
    <t xml:space="preserve">Seguro</t>
  </si>
  <si>
    <t xml:space="preserve">Sobra para o Zelo (margem de contribuição)</t>
  </si>
  <si>
    <t xml:space="preserve">% do que a família pagou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</si>
</sst>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;&quot;(R$ &quot;#,##0\);\-"/>
    <numFmt numFmtId="166" formatCode="&quot;R$ &quot;#,##0.00;&quot;(R$ &quot;#,##0.00\);\-"/>
    <numFmt numFmtId="167" formatCode="0.0%;\(0.0%\);\-"/>
    <numFmt numFmtId="168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6B7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DCEF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B70"/>
      <rgbColor rgb="FFC0C0C0"/>
      <rgbColor rgb="FF808080"/>
      <rgbColor rgb="FF9999FF"/>
      <rgbColor rgb="FF993366"/>
      <rgbColor rgb="FFFFFFCC"/>
      <rgbColor rgb="FFDCEF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180</v>
      </c>
      <c r="C5" s="2" t="s">
        <v>4</v>
      </c>
    </row>
    <row r="6" customFormat="false" ht="15" hidden="false" customHeight="false" outlineLevel="0" collapsed="false">
      <c r="A6" s="5" t="s">
        <v>5</v>
      </c>
      <c r="B6" s="7" t="n">
        <v>80</v>
      </c>
      <c r="C6" s="2" t="s">
        <v>6</v>
      </c>
    </row>
    <row r="7" customFormat="false" ht="15" hidden="false" customHeight="false" outlineLevel="0" collapsed="false">
      <c r="A7" s="5" t="s">
        <v>7</v>
      </c>
      <c r="B7" s="7" t="n">
        <v>60</v>
      </c>
      <c r="C7" s="2" t="s">
        <v>8</v>
      </c>
    </row>
    <row r="8" customFormat="false" ht="15" hidden="false" customHeight="false" outlineLevel="0" collapsed="false">
      <c r="A8" s="5" t="s">
        <v>9</v>
      </c>
      <c r="B8" s="7" t="n">
        <v>15</v>
      </c>
      <c r="C8" s="2" t="s">
        <v>10</v>
      </c>
    </row>
    <row r="9" customFormat="false" ht="15" hidden="false" customHeight="false" outlineLevel="0" collapsed="false">
      <c r="A9" s="5" t="s">
        <v>11</v>
      </c>
      <c r="B9" s="8" t="n">
        <v>29.9</v>
      </c>
      <c r="C9" s="2" t="s">
        <v>6</v>
      </c>
    </row>
    <row r="10" customFormat="false" ht="15" hidden="false" customHeight="false" outlineLevel="0" collapsed="false">
      <c r="A10" s="5" t="s">
        <v>12</v>
      </c>
      <c r="B10" s="8" t="n">
        <v>24.9</v>
      </c>
      <c r="C10" s="2" t="s">
        <v>13</v>
      </c>
    </row>
    <row r="11" customFormat="false" ht="15" hidden="false" customHeight="false" outlineLevel="0" collapsed="false">
      <c r="A11" s="3" t="s">
        <v>14</v>
      </c>
      <c r="B11" s="4"/>
      <c r="C11" s="4"/>
    </row>
    <row r="12" customFormat="false" ht="15" hidden="false" customHeight="false" outlineLevel="0" collapsed="false">
      <c r="A12" s="5" t="s">
        <v>15</v>
      </c>
      <c r="B12" s="9" t="n">
        <v>0.8</v>
      </c>
      <c r="C12" s="2" t="s">
        <v>8</v>
      </c>
    </row>
    <row r="13" customFormat="false" ht="15" hidden="false" customHeight="false" outlineLevel="0" collapsed="false">
      <c r="A13" s="5" t="s">
        <v>16</v>
      </c>
      <c r="B13" s="9" t="n">
        <v>0.95</v>
      </c>
      <c r="C13" s="2" t="s">
        <v>8</v>
      </c>
    </row>
    <row r="14" customFormat="false" ht="15" hidden="false" customHeight="false" outlineLevel="0" collapsed="false">
      <c r="A14" s="5" t="s">
        <v>17</v>
      </c>
      <c r="B14" s="9" t="n">
        <v>0.1</v>
      </c>
      <c r="C14" s="2" t="s">
        <v>8</v>
      </c>
    </row>
    <row r="15" customFormat="false" ht="15" hidden="false" customHeight="false" outlineLevel="0" collapsed="false">
      <c r="A15" s="3" t="s">
        <v>18</v>
      </c>
      <c r="B15" s="4"/>
      <c r="C15" s="4"/>
    </row>
    <row r="16" customFormat="false" ht="15" hidden="false" customHeight="false" outlineLevel="0" collapsed="false">
      <c r="A16" s="5" t="s">
        <v>19</v>
      </c>
      <c r="B16" s="10" t="n">
        <v>0.75</v>
      </c>
      <c r="C16" s="2" t="s">
        <v>20</v>
      </c>
    </row>
    <row r="17" customFormat="false" ht="15" hidden="false" customHeight="false" outlineLevel="0" collapsed="false">
      <c r="A17" s="5" t="s">
        <v>21</v>
      </c>
      <c r="B17" s="6" t="n">
        <v>60</v>
      </c>
      <c r="C17" s="2" t="s">
        <v>22</v>
      </c>
    </row>
    <row r="18" customFormat="false" ht="15" hidden="false" customHeight="false" outlineLevel="0" collapsed="false">
      <c r="A18" s="5" t="s">
        <v>23</v>
      </c>
      <c r="B18" s="7" t="n">
        <v>45</v>
      </c>
      <c r="C18" s="2" t="s">
        <v>8</v>
      </c>
    </row>
    <row r="19" customFormat="false" ht="15" hidden="false" customHeight="false" outlineLevel="0" collapsed="false">
      <c r="A19" s="5" t="s">
        <v>24</v>
      </c>
      <c r="B19" s="9" t="n">
        <v>0.03</v>
      </c>
      <c r="C19" s="2" t="s">
        <v>25</v>
      </c>
    </row>
    <row r="20" customFormat="false" ht="15" hidden="false" customHeight="false" outlineLevel="0" collapsed="false">
      <c r="A20" s="5" t="s">
        <v>26</v>
      </c>
      <c r="B20" s="7" t="n">
        <v>4</v>
      </c>
      <c r="C20" s="2" t="s">
        <v>8</v>
      </c>
    </row>
    <row r="21" customFormat="false" ht="15" hidden="false" customHeight="false" outlineLevel="0" collapsed="false">
      <c r="A21" s="5" t="s">
        <v>27</v>
      </c>
      <c r="B21" s="7" t="n">
        <v>3</v>
      </c>
      <c r="C21" s="2" t="s">
        <v>28</v>
      </c>
    </row>
    <row r="22" customFormat="false" ht="15" hidden="false" customHeight="false" outlineLevel="0" collapsed="false">
      <c r="A22" s="5" t="s">
        <v>29</v>
      </c>
      <c r="B22" s="8" t="n">
        <v>1.5</v>
      </c>
      <c r="C22" s="2" t="s">
        <v>30</v>
      </c>
    </row>
    <row r="23" customFormat="false" ht="15" hidden="false" customHeight="false" outlineLevel="0" collapsed="false">
      <c r="A23" s="5" t="s">
        <v>31</v>
      </c>
      <c r="B23" s="9" t="n">
        <v>0.08</v>
      </c>
      <c r="C23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7"/>
    <col collapsed="false" customWidth="true" hidden="false" outlineLevel="0" max="4" min="4" style="0" width="19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11" t="s">
        <v>35</v>
      </c>
      <c r="B4" s="12" t="s">
        <v>36</v>
      </c>
      <c r="C4" s="12" t="s">
        <v>37</v>
      </c>
      <c r="D4" s="12" t="s">
        <v>38</v>
      </c>
      <c r="E4" s="11" t="s">
        <v>39</v>
      </c>
    </row>
    <row r="5" customFormat="false" ht="15" hidden="false" customHeight="false" outlineLevel="0" collapsed="false">
      <c r="A5" s="13" t="s">
        <v>40</v>
      </c>
      <c r="B5" s="14"/>
      <c r="C5" s="14"/>
      <c r="D5" s="14"/>
      <c r="E5" s="14"/>
    </row>
    <row r="6" customFormat="false" ht="15" hidden="false" customHeight="false" outlineLevel="0" collapsed="false">
      <c r="A6" s="5" t="s">
        <v>41</v>
      </c>
      <c r="B6" s="15" t="n">
        <v>300</v>
      </c>
      <c r="C6" s="15" t="n">
        <v>1500</v>
      </c>
      <c r="D6" s="15" t="n">
        <v>8000</v>
      </c>
      <c r="E6" s="2" t="s">
        <v>42</v>
      </c>
    </row>
    <row r="7" customFormat="false" ht="15" hidden="false" customHeight="false" outlineLevel="0" collapsed="false">
      <c r="A7" s="5" t="s">
        <v>43</v>
      </c>
      <c r="B7" s="15" t="n">
        <v>200</v>
      </c>
      <c r="C7" s="15" t="n">
        <v>1000</v>
      </c>
      <c r="D7" s="15" t="n">
        <v>5000</v>
      </c>
      <c r="E7" s="2"/>
    </row>
    <row r="8" customFormat="false" ht="15" hidden="false" customHeight="false" outlineLevel="0" collapsed="false">
      <c r="A8" s="5" t="s">
        <v>44</v>
      </c>
      <c r="B8" s="9" t="n">
        <v>0.15</v>
      </c>
      <c r="C8" s="9" t="n">
        <v>0.2</v>
      </c>
      <c r="D8" s="9" t="n">
        <v>0.25</v>
      </c>
      <c r="E8" s="2"/>
    </row>
    <row r="9" customFormat="false" ht="15" hidden="false" customHeight="false" outlineLevel="0" collapsed="false">
      <c r="A9" s="5" t="s">
        <v>45</v>
      </c>
      <c r="B9" s="15" t="n">
        <v>40</v>
      </c>
      <c r="C9" s="15" t="n">
        <v>400</v>
      </c>
      <c r="D9" s="15" t="n">
        <v>2500</v>
      </c>
      <c r="E9" s="2" t="s">
        <v>46</v>
      </c>
    </row>
    <row r="10" customFormat="false" ht="15" hidden="false" customHeight="false" outlineLevel="0" collapsed="false">
      <c r="A10" s="5" t="s">
        <v>47</v>
      </c>
      <c r="B10" s="9" t="n">
        <v>0.25</v>
      </c>
      <c r="C10" s="9" t="n">
        <v>0.4</v>
      </c>
      <c r="D10" s="9" t="n">
        <v>0.5</v>
      </c>
      <c r="E10" s="2" t="s">
        <v>48</v>
      </c>
    </row>
    <row r="12" customFormat="false" ht="15" hidden="false" customHeight="false" outlineLevel="0" collapsed="false">
      <c r="A12" s="13" t="s">
        <v>49</v>
      </c>
      <c r="B12" s="14"/>
      <c r="C12" s="14"/>
      <c r="D12" s="14"/>
      <c r="E12" s="14"/>
    </row>
    <row r="13" customFormat="false" ht="15" hidden="false" customHeight="false" outlineLevel="0" collapsed="false">
      <c r="A13" s="5" t="s">
        <v>50</v>
      </c>
      <c r="B13" s="16" t="n">
        <f aca="false">B6*Premissas!$B$12*Premissas!$B$5</f>
        <v>43200</v>
      </c>
      <c r="C13" s="16" t="n">
        <f aca="false">C6*Premissas!$B$12*Premissas!$B$5</f>
        <v>216000</v>
      </c>
      <c r="D13" s="16" t="n">
        <f aca="false">D6*Premissas!$B$12*Premissas!$B$5</f>
        <v>1152000</v>
      </c>
      <c r="E13" s="2" t="s">
        <v>51</v>
      </c>
    </row>
    <row r="14" customFormat="false" ht="15" hidden="false" customHeight="false" outlineLevel="0" collapsed="false">
      <c r="A14" s="5" t="s">
        <v>52</v>
      </c>
      <c r="B14" s="16" t="n">
        <f aca="false">B6*Premissas!$B$13*Premissas!$B$6</f>
        <v>22800</v>
      </c>
      <c r="C14" s="16" t="n">
        <f aca="false">C6*Premissas!$B$13*Premissas!$B$6</f>
        <v>114000</v>
      </c>
      <c r="D14" s="16" t="n">
        <f aca="false">D6*Premissas!$B$13*Premissas!$B$6</f>
        <v>608000</v>
      </c>
      <c r="E14" s="2" t="s">
        <v>53</v>
      </c>
    </row>
    <row r="15" customFormat="false" ht="15" hidden="false" customHeight="false" outlineLevel="0" collapsed="false">
      <c r="A15" s="5" t="s">
        <v>54</v>
      </c>
      <c r="B15" s="16" t="n">
        <f aca="false">B6*Premissas!$B$14*Premissas!$B$7</f>
        <v>1800</v>
      </c>
      <c r="C15" s="16" t="n">
        <f aca="false">C6*Premissas!$B$14*Premissas!$B$7</f>
        <v>9000</v>
      </c>
      <c r="D15" s="16" t="n">
        <f aca="false">D6*Premissas!$B$14*Premissas!$B$7</f>
        <v>48000</v>
      </c>
      <c r="E15" s="2"/>
    </row>
    <row r="16" customFormat="false" ht="15" hidden="false" customHeight="false" outlineLevel="0" collapsed="false">
      <c r="A16" s="5" t="s">
        <v>55</v>
      </c>
      <c r="B16" s="16" t="n">
        <f aca="false">B6*(1-B10)*Premissas!$B$8</f>
        <v>3375</v>
      </c>
      <c r="C16" s="16" t="n">
        <f aca="false">C6*(1-C10)*Premissas!$B$8</f>
        <v>13500</v>
      </c>
      <c r="D16" s="16" t="n">
        <f aca="false">D6*(1-D10)*Premissas!$B$8</f>
        <v>60000</v>
      </c>
      <c r="E16" s="2"/>
    </row>
    <row r="17" customFormat="false" ht="15" hidden="false" customHeight="false" outlineLevel="0" collapsed="false">
      <c r="A17" s="5" t="s">
        <v>56</v>
      </c>
      <c r="B17" s="16" t="n">
        <f aca="false">B7*B8*Premissas!$B$9</f>
        <v>897</v>
      </c>
      <c r="C17" s="16" t="n">
        <f aca="false">C7*C8*Premissas!$B$9</f>
        <v>5980</v>
      </c>
      <c r="D17" s="16" t="n">
        <f aca="false">D7*D8*Premissas!$B$9</f>
        <v>37375</v>
      </c>
      <c r="E17" s="2"/>
    </row>
    <row r="18" customFormat="false" ht="15" hidden="false" customHeight="false" outlineLevel="0" collapsed="false">
      <c r="A18" s="5" t="s">
        <v>57</v>
      </c>
      <c r="B18" s="16" t="n">
        <f aca="false">B9*Premissas!$B$10</f>
        <v>996</v>
      </c>
      <c r="C18" s="16" t="n">
        <f aca="false">C9*Premissas!$B$10</f>
        <v>9960</v>
      </c>
      <c r="D18" s="16" t="n">
        <f aca="false">D9*Premissas!$B$10</f>
        <v>62250</v>
      </c>
      <c r="E18" s="2" t="s">
        <v>58</v>
      </c>
    </row>
    <row r="19" customFormat="false" ht="15" hidden="false" customHeight="false" outlineLevel="0" collapsed="false">
      <c r="A19" s="17" t="s">
        <v>59</v>
      </c>
      <c r="B19" s="18" t="n">
        <f aca="false">SUM(B13:B18)</f>
        <v>73068</v>
      </c>
      <c r="C19" s="18" t="n">
        <f aca="false">SUM(C13:C18)</f>
        <v>368440</v>
      </c>
      <c r="D19" s="18" t="n">
        <f aca="false">SUM(D13:D18)</f>
        <v>1967625</v>
      </c>
      <c r="E19" s="2"/>
    </row>
    <row r="21" customFormat="false" ht="15" hidden="false" customHeight="false" outlineLevel="0" collapsed="false">
      <c r="A21" s="13" t="s">
        <v>60</v>
      </c>
      <c r="B21" s="14"/>
      <c r="C21" s="14"/>
      <c r="D21" s="14"/>
      <c r="E21" s="14"/>
    </row>
    <row r="22" customFormat="false" ht="15" hidden="false" customHeight="false" outlineLevel="0" collapsed="false">
      <c r="A22" s="5" t="s">
        <v>61</v>
      </c>
      <c r="B22" s="16" t="n">
        <f aca="false">-B13*Premissas!$B$16</f>
        <v>-32400</v>
      </c>
      <c r="C22" s="16" t="n">
        <f aca="false">-C13*Premissas!$B$16</f>
        <v>-162000</v>
      </c>
      <c r="D22" s="16" t="n">
        <f aca="false">-D13*Premissas!$B$16</f>
        <v>-864000</v>
      </c>
      <c r="E22" s="2"/>
    </row>
    <row r="23" customFormat="false" ht="15" hidden="false" customHeight="false" outlineLevel="0" collapsed="false">
      <c r="A23" s="5" t="s">
        <v>62</v>
      </c>
      <c r="B23" s="16" t="n">
        <f aca="false">-B6*Premissas!$B$13*Premissas!$B$17</f>
        <v>-17100</v>
      </c>
      <c r="C23" s="16" t="n">
        <f aca="false">-C6*Premissas!$B$13*Premissas!$B$17</f>
        <v>-85500</v>
      </c>
      <c r="D23" s="16" t="n">
        <f aca="false">-D6*Premissas!$B$13*Premissas!$B$17</f>
        <v>-456000</v>
      </c>
      <c r="E23" s="2"/>
    </row>
    <row r="24" customFormat="false" ht="15" hidden="false" customHeight="false" outlineLevel="0" collapsed="false">
      <c r="A24" s="5" t="s">
        <v>63</v>
      </c>
      <c r="B24" s="16" t="n">
        <f aca="false">-B6*Premissas!$B$14*Premissas!$B$18</f>
        <v>-1350</v>
      </c>
      <c r="C24" s="16" t="n">
        <f aca="false">-C6*Premissas!$B$14*Premissas!$B$18</f>
        <v>-6750</v>
      </c>
      <c r="D24" s="16" t="n">
        <f aca="false">-D6*Premissas!$B$14*Premissas!$B$18</f>
        <v>-36000</v>
      </c>
      <c r="E24" s="2"/>
    </row>
    <row r="25" customFormat="false" ht="15" hidden="false" customHeight="false" outlineLevel="0" collapsed="false">
      <c r="A25" s="5" t="s">
        <v>64</v>
      </c>
      <c r="B25" s="16" t="n">
        <f aca="false">-(B19-B18)*Premissas!$B$19</f>
        <v>-2162.16</v>
      </c>
      <c r="C25" s="16" t="n">
        <f aca="false">-(C19-C18)*Premissas!$B$19</f>
        <v>-10754.4</v>
      </c>
      <c r="D25" s="16" t="n">
        <f aca="false">-(D19-D18)*Premissas!$B$19</f>
        <v>-57161.25</v>
      </c>
      <c r="E25" s="2" t="s">
        <v>65</v>
      </c>
    </row>
    <row r="26" customFormat="false" ht="15" hidden="false" customHeight="false" outlineLevel="0" collapsed="false">
      <c r="A26" s="5" t="s">
        <v>66</v>
      </c>
      <c r="B26" s="16" t="n">
        <f aca="false">-B6*Premissas!$B$20</f>
        <v>-1200</v>
      </c>
      <c r="C26" s="16" t="n">
        <f aca="false">-C6*Premissas!$B$20</f>
        <v>-6000</v>
      </c>
      <c r="D26" s="16" t="n">
        <f aca="false">-D6*Premissas!$B$20</f>
        <v>-32000</v>
      </c>
      <c r="E26" s="2"/>
    </row>
    <row r="27" customFormat="false" ht="15" hidden="false" customHeight="false" outlineLevel="0" collapsed="false">
      <c r="A27" s="5" t="s">
        <v>67</v>
      </c>
      <c r="B27" s="16" t="n">
        <f aca="false">-(B6*Premissas!$B$21+B7*Premissas!$B$22)</f>
        <v>-1200</v>
      </c>
      <c r="C27" s="16" t="n">
        <f aca="false">-(C6*Premissas!$B$21+C7*Premissas!$B$22)</f>
        <v>-6000</v>
      </c>
      <c r="D27" s="16" t="n">
        <f aca="false">-(D6*Premissas!$B$21+D7*Premissas!$B$22)</f>
        <v>-31500</v>
      </c>
      <c r="E27" s="2"/>
    </row>
    <row r="28" customFormat="false" ht="15" hidden="false" customHeight="false" outlineLevel="0" collapsed="false">
      <c r="A28" s="5" t="s">
        <v>68</v>
      </c>
      <c r="B28" s="16" t="n">
        <f aca="false">-(B19+B22+B23+B24)*Premissas!$B$23</f>
        <v>-1777.44</v>
      </c>
      <c r="C28" s="16" t="n">
        <f aca="false">-(C19+C22+C23+C24)*Premissas!$B$23</f>
        <v>-9135.2</v>
      </c>
      <c r="D28" s="16" t="n">
        <f aca="false">-(D19+D22+D23+D24)*Premissas!$B$23</f>
        <v>-48930</v>
      </c>
      <c r="E28" s="2" t="s">
        <v>69</v>
      </c>
    </row>
    <row r="29" customFormat="false" ht="15" hidden="false" customHeight="false" outlineLevel="0" collapsed="false">
      <c r="A29" s="17" t="s">
        <v>70</v>
      </c>
      <c r="B29" s="18" t="n">
        <f aca="false">B19+SUM(B22:B28)</f>
        <v>15878.4</v>
      </c>
      <c r="C29" s="18" t="n">
        <f aca="false">C19+SUM(C22:C28)</f>
        <v>82300.4</v>
      </c>
      <c r="D29" s="18" t="n">
        <f aca="false">D19+SUM(D22:D28)</f>
        <v>442033.75</v>
      </c>
      <c r="E29" s="2"/>
    </row>
    <row r="30" customFormat="false" ht="15" hidden="false" customHeight="false" outlineLevel="0" collapsed="false">
      <c r="A30" s="5" t="s">
        <v>71</v>
      </c>
      <c r="B30" s="19" t="n">
        <f aca="false">IF(B19=0,0,B29/B19)</f>
        <v>0.217309903103958</v>
      </c>
      <c r="C30" s="19" t="n">
        <f aca="false">IF(C19=0,0,C29/C19)</f>
        <v>0.223375312126805</v>
      </c>
      <c r="D30" s="19" t="n">
        <f aca="false">IF(D19=0,0,D29/D19)</f>
        <v>0.22465345276666</v>
      </c>
      <c r="E30" s="2"/>
    </row>
    <row r="32" customFormat="false" ht="15" hidden="false" customHeight="false" outlineLevel="0" collapsed="false">
      <c r="A32" s="13" t="s">
        <v>72</v>
      </c>
      <c r="B32" s="14"/>
      <c r="C32" s="14"/>
      <c r="D32" s="14"/>
      <c r="E32" s="14"/>
    </row>
    <row r="33" customFormat="false" ht="15" hidden="false" customHeight="false" outlineLevel="0" collapsed="false">
      <c r="A33" s="5" t="s">
        <v>73</v>
      </c>
      <c r="B33" s="7" t="n">
        <v>14000</v>
      </c>
      <c r="C33" s="7" t="n">
        <v>40000</v>
      </c>
      <c r="D33" s="7" t="n">
        <v>110000</v>
      </c>
      <c r="E33" s="2" t="s">
        <v>74</v>
      </c>
    </row>
    <row r="34" customFormat="false" ht="15" hidden="false" customHeight="false" outlineLevel="0" collapsed="false">
      <c r="A34" s="5" t="s">
        <v>75</v>
      </c>
      <c r="B34" s="7" t="n">
        <v>9000</v>
      </c>
      <c r="C34" s="7" t="n">
        <v>24000</v>
      </c>
      <c r="D34" s="7" t="n">
        <v>50000</v>
      </c>
      <c r="E34" s="2"/>
    </row>
    <row r="35" customFormat="false" ht="15" hidden="false" customHeight="false" outlineLevel="0" collapsed="false">
      <c r="A35" s="5" t="s">
        <v>76</v>
      </c>
      <c r="B35" s="7" t="n">
        <v>6000</v>
      </c>
      <c r="C35" s="7" t="n">
        <v>30000</v>
      </c>
      <c r="D35" s="7" t="n">
        <v>70000</v>
      </c>
      <c r="E35" s="2"/>
    </row>
    <row r="36" customFormat="false" ht="15" hidden="false" customHeight="false" outlineLevel="0" collapsed="false">
      <c r="A36" s="5" t="s">
        <v>77</v>
      </c>
      <c r="B36" s="7" t="n">
        <v>8000</v>
      </c>
      <c r="C36" s="7" t="n">
        <v>30000</v>
      </c>
      <c r="D36" s="7" t="n">
        <v>90000</v>
      </c>
      <c r="E36" s="2"/>
    </row>
    <row r="37" customFormat="false" ht="15" hidden="false" customHeight="false" outlineLevel="0" collapsed="false">
      <c r="A37" s="5" t="s">
        <v>78</v>
      </c>
      <c r="B37" s="7" t="n">
        <v>3000</v>
      </c>
      <c r="C37" s="7" t="n">
        <v>10000</v>
      </c>
      <c r="D37" s="7" t="n">
        <v>30000</v>
      </c>
      <c r="E37" s="2"/>
    </row>
    <row r="38" customFormat="false" ht="15" hidden="false" customHeight="false" outlineLevel="0" collapsed="false">
      <c r="A38" s="5" t="s">
        <v>79</v>
      </c>
      <c r="B38" s="7" t="n">
        <v>0</v>
      </c>
      <c r="C38" s="7" t="n">
        <v>12000</v>
      </c>
      <c r="D38" s="7" t="n">
        <v>35000</v>
      </c>
      <c r="E38" s="2"/>
    </row>
    <row r="39" customFormat="false" ht="15" hidden="false" customHeight="false" outlineLevel="0" collapsed="false">
      <c r="A39" s="5" t="s">
        <v>80</v>
      </c>
      <c r="B39" s="7" t="n">
        <v>3000</v>
      </c>
      <c r="C39" s="7" t="n">
        <v>8000</v>
      </c>
      <c r="D39" s="7" t="n">
        <v>20000</v>
      </c>
      <c r="E39" s="2"/>
    </row>
    <row r="40" customFormat="false" ht="15" hidden="false" customHeight="false" outlineLevel="0" collapsed="false">
      <c r="A40" s="17" t="s">
        <v>81</v>
      </c>
      <c r="B40" s="18" t="n">
        <f aca="false">SUM(B33:B39)</f>
        <v>43000</v>
      </c>
      <c r="C40" s="18" t="n">
        <f aca="false">SUM(C33:C39)</f>
        <v>154000</v>
      </c>
      <c r="D40" s="18" t="n">
        <f aca="false">SUM(D33:D39)</f>
        <v>405000</v>
      </c>
      <c r="E40" s="2"/>
    </row>
    <row r="42" customFormat="false" ht="15" hidden="false" customHeight="false" outlineLevel="0" collapsed="false">
      <c r="A42" s="13" t="s">
        <v>82</v>
      </c>
      <c r="B42" s="14"/>
      <c r="C42" s="14"/>
      <c r="D42" s="14"/>
      <c r="E42" s="14"/>
    </row>
    <row r="43" customFormat="false" ht="15" hidden="false" customHeight="false" outlineLevel="0" collapsed="false">
      <c r="A43" s="20" t="s">
        <v>83</v>
      </c>
      <c r="B43" s="21" t="n">
        <f aca="false">B29-B40</f>
        <v>-27121.6</v>
      </c>
      <c r="C43" s="21" t="n">
        <f aca="false">C29-C40</f>
        <v>-71699.6</v>
      </c>
      <c r="D43" s="21" t="n">
        <f aca="false">D29-D40</f>
        <v>37033.75</v>
      </c>
      <c r="E43" s="2"/>
    </row>
    <row r="44" customFormat="false" ht="15" hidden="false" customHeight="false" outlineLevel="0" collapsed="false">
      <c r="A44" s="5" t="s">
        <v>84</v>
      </c>
      <c r="B44" s="7" t="n">
        <v>500</v>
      </c>
      <c r="C44" s="7" t="n">
        <v>2000</v>
      </c>
      <c r="D44" s="7" t="n">
        <v>6000</v>
      </c>
      <c r="E44" s="2" t="s">
        <v>85</v>
      </c>
    </row>
    <row r="45" customFormat="false" ht="15" hidden="false" customHeight="false" outlineLevel="0" collapsed="false">
      <c r="A45" s="17" t="s">
        <v>86</v>
      </c>
      <c r="B45" s="22" t="n">
        <f aca="false">B43-B44</f>
        <v>-27621.6</v>
      </c>
      <c r="C45" s="22" t="n">
        <f aca="false">C43-C44</f>
        <v>-73699.6</v>
      </c>
      <c r="D45" s="22" t="n">
        <f aca="false">D43-D44</f>
        <v>31033.75</v>
      </c>
      <c r="E45" s="2"/>
    </row>
    <row r="46" customFormat="false" ht="15" hidden="false" customHeight="false" outlineLevel="0" collapsed="false">
      <c r="A46" s="5" t="s">
        <v>87</v>
      </c>
      <c r="B46" s="19" t="n">
        <f aca="false">IF(B19=0,0,B45/B19)</f>
        <v>-0.378025948431598</v>
      </c>
      <c r="C46" s="19" t="n">
        <f aca="false">IF(C19=0,0,C45/C19)</f>
        <v>-0.200031484095104</v>
      </c>
      <c r="D46" s="19" t="n">
        <f aca="false">IF(D19=0,0,D45/D19)</f>
        <v>0.0157721872816212</v>
      </c>
      <c r="E46" s="2"/>
    </row>
    <row r="48" customFormat="false" ht="15" hidden="false" customHeight="false" outlineLevel="0" collapsed="false">
      <c r="A48" s="13" t="s">
        <v>88</v>
      </c>
      <c r="B48" s="14"/>
      <c r="C48" s="14"/>
      <c r="D48" s="14"/>
      <c r="E48" s="14"/>
    </row>
    <row r="49" customFormat="false" ht="15" hidden="false" customHeight="false" outlineLevel="0" collapsed="false">
      <c r="A49" s="5" t="s">
        <v>89</v>
      </c>
      <c r="B49" s="16" t="n">
        <f aca="false">(B17+B18)*(1-Premissas!$B$23)-B17*Premissas!$B$19-B7*Premissas!$B$22</f>
        <v>1414.65</v>
      </c>
      <c r="C49" s="16" t="n">
        <f aca="false">(C17+C18)*(1-Premissas!$B$23)-C17*Premissas!$B$19-C7*Premissas!$B$22</f>
        <v>12985.4</v>
      </c>
      <c r="D49" s="16" t="n">
        <f aca="false">(D17+D18)*(1-Premissas!$B$23)-D17*Premissas!$B$19-D7*Premissas!$B$22</f>
        <v>83033.75</v>
      </c>
      <c r="E49" s="2" t="s">
        <v>90</v>
      </c>
    </row>
    <row r="50" customFormat="false" ht="15" hidden="false" customHeight="false" outlineLevel="0" collapsed="false">
      <c r="A50" s="5" t="s">
        <v>91</v>
      </c>
      <c r="B50" s="23" t="n">
        <f aca="false">IF(B6=0,0,(B29-B49)/B6)</f>
        <v>48.2125</v>
      </c>
      <c r="C50" s="23" t="n">
        <f aca="false">IF(C6=0,0,(C29-C49)/C6)</f>
        <v>46.21</v>
      </c>
      <c r="D50" s="23" t="n">
        <f aca="false">IF(D6=0,0,(D29-D49)/D6)</f>
        <v>44.875</v>
      </c>
      <c r="E50" s="2"/>
    </row>
    <row r="51" customFormat="false" ht="15" hidden="false" customHeight="false" outlineLevel="0" collapsed="false">
      <c r="A51" s="20" t="s">
        <v>92</v>
      </c>
      <c r="B51" s="24" t="n">
        <f aca="false">IF(B50&lt;=0,0,(B40+B44-B49)/B50)</f>
        <v>872.913663469018</v>
      </c>
      <c r="C51" s="24" t="n">
        <f aca="false">IF(C50&lt;=0,0,(C40+C44-C49)/C50)</f>
        <v>3094.8842241939</v>
      </c>
      <c r="D51" s="24" t="n">
        <f aca="false">IF(D50&lt;=0,0,(D40+D44-D49)/D50)</f>
        <v>7308.44011142061</v>
      </c>
      <c r="E51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5" t="n">
        <f aca="false">Premissas!$B$5</f>
        <v>180</v>
      </c>
    </row>
    <row r="5" customFormat="false" ht="15" hidden="false" customHeight="false" outlineLevel="0" collapsed="false">
      <c r="A5" s="5" t="s">
        <v>97</v>
      </c>
      <c r="B5" s="25" t="n">
        <f aca="false">Premissas!$B$6</f>
        <v>80</v>
      </c>
    </row>
    <row r="6" customFormat="false" ht="15" hidden="false" customHeight="false" outlineLevel="0" collapsed="false">
      <c r="A6" s="5" t="s">
        <v>98</v>
      </c>
      <c r="B6" s="25" t="n">
        <f aca="false">Premissas!$B$8</f>
        <v>15</v>
      </c>
    </row>
    <row r="7" customFormat="false" ht="15" hidden="false" customHeight="false" outlineLevel="0" collapsed="false">
      <c r="A7" s="20" t="s">
        <v>99</v>
      </c>
      <c r="B7" s="26" t="n">
        <f aca="false">SUM(B4:B6)</f>
        <v>275</v>
      </c>
    </row>
    <row r="9" customFormat="false" ht="15" hidden="false" customHeight="false" outlineLevel="0" collapsed="false">
      <c r="A9" s="5" t="s">
        <v>100</v>
      </c>
      <c r="B9" s="23" t="n">
        <f aca="false">-B4*Premissas!$B$16</f>
        <v>-135</v>
      </c>
    </row>
    <row r="10" customFormat="false" ht="15" hidden="false" customHeight="false" outlineLevel="0" collapsed="false">
      <c r="A10" s="5" t="s">
        <v>101</v>
      </c>
      <c r="B10" s="23" t="n">
        <f aca="false">-Premissas!$B$17</f>
        <v>-60</v>
      </c>
    </row>
    <row r="11" customFormat="false" ht="15" hidden="false" customHeight="false" outlineLevel="0" collapsed="false">
      <c r="A11" s="5" t="s">
        <v>64</v>
      </c>
      <c r="B11" s="23" t="n">
        <f aca="false">-B7*Premissas!$B$19</f>
        <v>-8.25</v>
      </c>
    </row>
    <row r="12" customFormat="false" ht="15" hidden="false" customHeight="false" outlineLevel="0" collapsed="false">
      <c r="A12" s="5" t="s">
        <v>102</v>
      </c>
      <c r="B12" s="23" t="n">
        <f aca="false">-Premissas!$B$20</f>
        <v>-4</v>
      </c>
    </row>
    <row r="13" customFormat="false" ht="15" hidden="false" customHeight="false" outlineLevel="0" collapsed="false">
      <c r="A13" s="5" t="s">
        <v>67</v>
      </c>
      <c r="B13" s="23" t="n">
        <f aca="false">-Premissas!$B$21</f>
        <v>-3</v>
      </c>
    </row>
    <row r="14" customFormat="false" ht="15" hidden="false" customHeight="false" outlineLevel="0" collapsed="false">
      <c r="A14" s="5" t="s">
        <v>68</v>
      </c>
      <c r="B14" s="23" t="n">
        <f aca="false">-(B7+B9+B10)*Premissas!$B$23</f>
        <v>-6.4</v>
      </c>
    </row>
    <row r="15" customFormat="false" ht="15" hidden="false" customHeight="false" outlineLevel="0" collapsed="false">
      <c r="A15" s="20" t="s">
        <v>103</v>
      </c>
      <c r="B15" s="27" t="n">
        <f aca="false">B7+SUM(B9:B14)</f>
        <v>58.35</v>
      </c>
    </row>
    <row r="16" customFormat="false" ht="15" hidden="false" customHeight="false" outlineLevel="0" collapsed="false">
      <c r="A16" s="5" t="s">
        <v>104</v>
      </c>
      <c r="B16" s="19" t="n">
        <f aca="false">IF(B7=0,0,B15/B7)</f>
        <v>0.212181818181818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2026-10-07T14:29:17Z</dcterms:created>
  <dc:creator>openpyxl</dc:creator>
  <dc:description/>
  <dc:language>en-US</dc:language>
  <cp:lastModifiedBy/>
  <dcterms:modified xsi:type="dcterms:W3CDTF">2026-10-07T14:29:17Z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